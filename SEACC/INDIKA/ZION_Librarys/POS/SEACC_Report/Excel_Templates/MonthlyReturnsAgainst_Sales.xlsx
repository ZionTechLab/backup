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570" tabRatio="474" activeTab="1"/>
  </bookViews>
  <sheets>
    <sheet name="Raw_Data" sheetId="1" r:id="rId1"/>
    <sheet name="MonthlyReturnsAgainst_Sales" sheetId="4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<sst xmlns="http://schemas.openxmlformats.org/spreadsheetml/2006/main" count="57">
  <si>
    <t>SalesRep</t>
  </si>
  <si>
    <t>Route</t>
  </si>
  <si>
    <t>MonthOneGross</t>
  </si>
  <si>
    <t>MonthOneReturn</t>
  </si>
  <si>
    <t>MonthTwoGross</t>
  </si>
  <si>
    <t>MonthTwoReturn</t>
  </si>
  <si>
    <t>MonthThreeGross</t>
  </si>
  <si>
    <t>MonthThreeReturn</t>
  </si>
  <si>
    <t>MonthFourGross</t>
  </si>
  <si>
    <t>MonthFourReturn</t>
  </si>
  <si>
    <t>MonthFiveGross</t>
  </si>
  <si>
    <t>MonthFiveReturn</t>
  </si>
  <si>
    <t>KAMAL</t>
  </si>
  <si>
    <t>A</t>
  </si>
  <si>
    <t>CHATHURANGA</t>
  </si>
  <si>
    <t>B</t>
  </si>
  <si>
    <t>DULIP</t>
  </si>
  <si>
    <t>C</t>
  </si>
  <si>
    <t>PRABHATH</t>
  </si>
  <si>
    <t>D</t>
  </si>
  <si>
    <t>PREMALI</t>
  </si>
  <si>
    <t>E</t>
  </si>
  <si>
    <t>CHAMAL</t>
  </si>
  <si>
    <t>F</t>
  </si>
  <si>
    <t/>
  </si>
  <si>
    <t>CELCIUS SOLUTIONS (PVT) LTD</t>
  </si>
  <si>
    <t>NO. 616, NEGOMBO ROAD, LIYANAGEMULLA, SEEDUWA, SRI LANKA.</t>
  </si>
  <si>
    <t>Tel : +94 114 858 859 FAX : +94 114 741 861</t>
  </si>
  <si>
    <t>Monthly Return Against Sales (January 19 - March 19)</t>
  </si>
  <si>
    <t>Sales Summary</t>
  </si>
  <si>
    <t>January</t>
  </si>
  <si>
    <t>February</t>
  </si>
  <si>
    <t>March</t>
  </si>
  <si>
    <t>April</t>
  </si>
  <si>
    <t>May</t>
  </si>
  <si>
    <t>SALES REP</t>
  </si>
  <si>
    <t>GR: VAL: (Sal:)</t>
  </si>
  <si>
    <t>VAL: (Rtns.)</t>
  </si>
  <si>
    <t>Net. Value</t>
  </si>
  <si>
    <t>Rtn. %</t>
  </si>
  <si>
    <t xml:space="preserve">GR: VAL: (Sal:) </t>
  </si>
  <si>
    <t xml:space="preserve">VAL: (Rtns.) </t>
  </si>
  <si>
    <t xml:space="preserve">Net. Value </t>
  </si>
  <si>
    <t xml:space="preserve">Rtn. % </t>
  </si>
  <si>
    <t xml:space="preserve">GR: VAL: (Sal:)  </t>
  </si>
  <si>
    <t xml:space="preserve">VAL: (Rtns.)  </t>
  </si>
  <si>
    <t xml:space="preserve">Net. Value  </t>
  </si>
  <si>
    <t xml:space="preserve">Rtn. %  </t>
  </si>
  <si>
    <t xml:space="preserve">GR: VAL: (Sal:)   </t>
  </si>
  <si>
    <t xml:space="preserve">VAL: (Rtns.)   </t>
  </si>
  <si>
    <t xml:space="preserve">Net. Value   </t>
  </si>
  <si>
    <t xml:space="preserve">Rtn. %   </t>
  </si>
  <si>
    <t xml:space="preserve">GR: VAL: (Sal:)    </t>
  </si>
  <si>
    <t xml:space="preserve">VAL: (Rtns.)    </t>
  </si>
  <si>
    <t xml:space="preserve">Net. Value    </t>
  </si>
  <si>
    <t xml:space="preserve">Rtn. %    </t>
  </si>
  <si>
    <t>GRAND TOTAL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</si>
</sst>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dd\-mmm\-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</numFmts>
  <fonts count="26">
    <font>
      <sz val="11"/>
      <name val="Calibri"/>
      <charset val="134"/>
    </font>
    <font>
      <b/>
      <sz val="18"/>
      <name val="Calibri"/>
      <charset val="134"/>
    </font>
    <font>
      <b/>
      <sz val="11"/>
      <name val="Calibri"/>
      <charset val="134"/>
    </font>
    <font>
      <b/>
      <sz val="14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2B579A"/>
      <name val="Calibri"/>
      <charset val="134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10" fillId="7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8" borderId="6">
      <alignment horizontal="center" vertical="center"/>
    </xf>
    <xf numFmtId="0" fontId="8" fillId="4" borderId="5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10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18" borderId="10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21" borderId="11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top" wrapText="1"/>
    </xf>
    <xf numFmtId="0" fontId="4" fillId="2" borderId="2" xfId="0" applyNumberFormat="1" applyFont="1" applyFill="1" applyBorder="1" applyAlignment="1">
      <alignment horizontal="center" vertical="top" wrapText="1"/>
    </xf>
    <xf numFmtId="0" fontId="4" fillId="2" borderId="3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/>
    </xf>
    <xf numFmtId="39" fontId="0" fillId="0" borderId="0" xfId="0" applyNumberFormat="1" applyFont="1" applyFill="1" applyBorder="1"/>
    <xf numFmtId="10" fontId="0" fillId="0" borderId="0" xfId="0" applyNumberFormat="1" applyFont="1" applyFill="1" applyBorder="1"/>
    <xf numFmtId="177" fontId="0" fillId="0" borderId="0" xfId="0" applyNumberFormat="1" applyFont="1" applyFill="1" applyBorder="1"/>
    <xf numFmtId="4" fontId="0" fillId="0" borderId="0" xfId="0" applyNumberFormat="1" applyFont="1" applyFill="1" applyBorder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89"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10" formatCode="0.00%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10" formatCode="0.00%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10" formatCode="0.00%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10" formatCode="0.00%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10" formatCode="0.00%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numFmt numFmtId="179" formatCode="m/d/yyyy;@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37437055574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37437055574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Table Style 2">
    <tableStyle name="PivotTable Style 2" table="0" count="10">
      <tableStyleElement type="wholeTable" dxfId="88"/>
      <tableStyleElement type="headerRow" dxfId="87"/>
      <tableStyleElement type="totalRow" dxfId="86"/>
      <tableStyleElement type="lastColumn" dxfId="85"/>
      <tableStyleElement type="firstSubtotalColumn" dxfId="84"/>
      <tableStyleElement type="secondSubtotalColumn" dxfId="83"/>
      <tableStyleElement type="thirdSubtotalColumn" dxfId="82"/>
      <tableStyleElement type="firstSubtotalRow" dxfId="81"/>
      <tableStyleElement type="secondSubtotalRow" dxfId="80"/>
      <tableStyleElement type="thirdSubtotalRow" dxfId="7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600.6302430556" refreshedBy="pdeng3" recordCount="40">
  <cacheSource type="worksheet">
    <worksheetSource name="Table1"/>
  </cacheSource>
  <cacheFields count="25">
    <cacheField name="SalesRep" numFmtId="0">
      <sharedItems containsBlank="1" count="7">
        <s v="KAMAL"/>
        <s v="CHATHURANGA"/>
        <s v="DULIP"/>
        <s v="PRABHATH"/>
        <s v="PREMALI"/>
        <s v="CHAMAL"/>
        <m/>
      </sharedItems>
    </cacheField>
    <cacheField name="Route" numFmtId="0">
      <sharedItems containsBlank="1" count="7">
        <s v="A"/>
        <s v="B"/>
        <s v="C"/>
        <s v="D"/>
        <s v="E"/>
        <s v="F"/>
        <m/>
      </sharedItems>
    </cacheField>
    <cacheField name="MonthOneGross" numFmtId="0">
      <sharedItems containsString="0" containsBlank="1" containsNumber="1" minValue="0" maxValue="468827.04" count="4">
        <n v="0"/>
        <n v="165090.23"/>
        <n v="468827.04"/>
        <m/>
      </sharedItems>
    </cacheField>
    <cacheField name="MonthOneReturn" numFmtId="0">
      <sharedItems containsString="0" containsBlank="1" containsNumber="1" minValue="0" maxValue="161627.91" count="3">
        <n v="0"/>
        <n v="161627.91"/>
        <m/>
      </sharedItems>
    </cacheField>
    <cacheField name="MonthTwoGross" numFmtId="0">
      <sharedItems containsString="0" containsBlank="1" containsNumber="1" minValue="0" maxValue="1317593.08" count="4">
        <n v="0"/>
        <n v="1317593.08"/>
        <n v="102182.02"/>
        <m/>
      </sharedItems>
    </cacheField>
    <cacheField name="MonthTwoReturn" numFmtId="0">
      <sharedItems containsString="0" containsBlank="1" containsNumber="1" minValue="0" maxValue="1490327.49" count="6">
        <n v="0"/>
        <n v="241573.25"/>
        <n v="1490327.49"/>
        <n v="141090.38"/>
        <n v="552793.62"/>
        <m/>
      </sharedItems>
    </cacheField>
    <cacheField name="MonthThreeGross" numFmtId="0">
      <sharedItems containsString="0" containsBlank="1" containsNumber="1" minValue="0" maxValue="722465.9" count="8">
        <n v="0"/>
        <n v="722465.9"/>
        <n v="17560.03"/>
        <n v="82398.5"/>
        <n v="106022.11"/>
        <n v="324518"/>
        <n v="15197.36"/>
        <m/>
      </sharedItems>
    </cacheField>
    <cacheField name="MonthThreeReturn" numFmtId="0">
      <sharedItems containsString="0" containsBlank="1" containsNumber="1" minValue="0" maxValue="974670.81" count="9">
        <n v="0"/>
        <n v="355633.766809265"/>
        <n v="355486.25"/>
        <n v="91218.61"/>
        <n v="974670.81"/>
        <n v="107915.68"/>
        <n v="64335.82"/>
        <n v="158519.9"/>
        <m/>
      </sharedItems>
    </cacheField>
    <cacheField name="MonthFourGross" numFmtId="0">
      <sharedItems containsString="0" containsBlank="1" containsNumber="1" minValue="0" maxValue="1467348.23" count="7">
        <n v="0"/>
        <n v="11342.5255228129"/>
        <n v="2849.23"/>
        <n v="250795.73"/>
        <n v="1467348.23"/>
        <n v="132758.12"/>
        <m/>
      </sharedItems>
    </cacheField>
    <cacheField name="MonthFourReturn" numFmtId="0">
      <sharedItems containsString="0" containsBlank="1" containsNumber="1" minValue="0" maxValue="697993.966560428" count="7">
        <n v="0"/>
        <n v="697993.966560428"/>
        <n v="452.04"/>
        <n v="63817.25"/>
        <n v="144664.4"/>
        <n v="27657.94"/>
        <m/>
      </sharedItems>
    </cacheField>
    <cacheField name="MonthFiveGross" numFmtId="0">
      <sharedItems containsString="0" containsBlank="1" containsNumber="1" containsInteger="1" minValue="0" maxValue="0" count="2">
        <n v="0"/>
        <m/>
      </sharedItems>
    </cacheField>
    <cacheField name="MonthFiveReturn" numFmtId="0">
      <sharedItems containsString="0" containsBlank="1" containsNumber="1" containsInteger="1" minValue="0" maxValue="51060" count="3">
        <n v="0"/>
        <n v="51060"/>
        <m/>
      </sharedItems>
    </cacheField>
    <cacheField name="Net Sale" numFmtId="0" formula="#NAME?-#NAME?-#NAME?+#NAME?" databaseField="0"/>
    <cacheField name="Total Qty" numFmtId="0" formula="#NAME?-#NAME?" databaseField="0"/>
    <cacheField name="Average Price" numFmtId="0" formula="IF('Total Qty'=0,0,'Net Sale'/'Total Qty')" databaseField="0"/>
    <cacheField name="MonthOneNet" numFmtId="0" formula="MonthOneGross-MonthOneReturn" databaseField="0"/>
    <cacheField name="MonthTwoNet" numFmtId="0" formula="MonthTwoGross-MonthTwoReturn" databaseField="0"/>
    <cacheField name="MonthThreeNet" numFmtId="0" formula="MonthThreeGross-MonthThreeReturn" databaseField="0"/>
    <cacheField name="MonthFourNet" numFmtId="0" formula="MonthFourGross-MonthFourReturn" databaseField="0"/>
    <cacheField name="MonthFiveNet" numFmtId="0" formula="MonthFiveGross-MonthFiveReturn" databaseField="0"/>
    <cacheField name="MonthOnePer" numFmtId="0" formula="IF(MonthOneNet&lt;=0,0,MonthOneReturn/MonthOneGross)" databaseField="0"/>
    <cacheField name="MonthTwoPer" numFmtId="0" formula="IF(MonthTwoNet&lt;=0,0,MonthTwoReturn/MonthTwoGross)" databaseField="0"/>
    <cacheField name="MonthThreePer" numFmtId="0" formula="IF(MonthThreeNet&lt;=0,0,MonthThreeReturn/MonthThreeGross)" databaseField="0"/>
    <cacheField name="MonthFourPer" numFmtId="0" formula="IF(MonthFourNet&lt;=0,0,MonthFourReturn/MonthFourGross)" databaseField="0"/>
    <cacheField name="MonthFivePer" numFmtId="0" formula="IF(MonthFiveNet&lt;=0,0,MonthFiveReturn/MonthFiveGross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</r>
  <r>
    <x v="0"/>
    <x v="0"/>
    <x v="0"/>
    <x v="0"/>
    <x v="0"/>
    <x v="0"/>
    <x v="0"/>
    <x v="0"/>
    <x v="1"/>
    <x v="0"/>
    <x v="0"/>
    <x v="0"/>
  </r>
  <r>
    <x v="0"/>
    <x v="0"/>
    <x v="0"/>
    <x v="0"/>
    <x v="0"/>
    <x v="0"/>
    <x v="0"/>
    <x v="0"/>
    <x v="0"/>
    <x v="1"/>
    <x v="0"/>
    <x v="0"/>
  </r>
  <r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</r>
  <r>
    <x v="0"/>
    <x v="0"/>
    <x v="1"/>
    <x v="0"/>
    <x v="0"/>
    <x v="0"/>
    <x v="0"/>
    <x v="0"/>
    <x v="0"/>
    <x v="0"/>
    <x v="0"/>
    <x v="0"/>
  </r>
  <r>
    <x v="0"/>
    <x v="0"/>
    <x v="0"/>
    <x v="0"/>
    <x v="1"/>
    <x v="0"/>
    <x v="0"/>
    <x v="0"/>
    <x v="0"/>
    <x v="0"/>
    <x v="0"/>
    <x v="0"/>
  </r>
  <r>
    <x v="0"/>
    <x v="0"/>
    <x v="0"/>
    <x v="0"/>
    <x v="0"/>
    <x v="1"/>
    <x v="0"/>
    <x v="0"/>
    <x v="0"/>
    <x v="0"/>
    <x v="0"/>
    <x v="0"/>
  </r>
  <r>
    <x v="0"/>
    <x v="0"/>
    <x v="0"/>
    <x v="0"/>
    <x v="0"/>
    <x v="0"/>
    <x v="2"/>
    <x v="0"/>
    <x v="0"/>
    <x v="0"/>
    <x v="0"/>
    <x v="0"/>
  </r>
  <r>
    <x v="0"/>
    <x v="0"/>
    <x v="0"/>
    <x v="0"/>
    <x v="0"/>
    <x v="0"/>
    <x v="0"/>
    <x v="0"/>
    <x v="2"/>
    <x v="0"/>
    <x v="0"/>
    <x v="0"/>
  </r>
  <r>
    <x v="0"/>
    <x v="0"/>
    <x v="0"/>
    <x v="0"/>
    <x v="0"/>
    <x v="0"/>
    <x v="0"/>
    <x v="0"/>
    <x v="0"/>
    <x v="2"/>
    <x v="0"/>
    <x v="0"/>
  </r>
  <r>
    <x v="0"/>
    <x v="0"/>
    <x v="0"/>
    <x v="0"/>
    <x v="0"/>
    <x v="0"/>
    <x v="0"/>
    <x v="2"/>
    <x v="0"/>
    <x v="0"/>
    <x v="0"/>
    <x v="0"/>
  </r>
  <r>
    <x v="1"/>
    <x v="1"/>
    <x v="0"/>
    <x v="0"/>
    <x v="0"/>
    <x v="0"/>
    <x v="0"/>
    <x v="3"/>
    <x v="0"/>
    <x v="0"/>
    <x v="0"/>
    <x v="0"/>
  </r>
  <r>
    <x v="1"/>
    <x v="1"/>
    <x v="0"/>
    <x v="0"/>
    <x v="0"/>
    <x v="0"/>
    <x v="0"/>
    <x v="0"/>
    <x v="3"/>
    <x v="0"/>
    <x v="0"/>
    <x v="0"/>
  </r>
  <r>
    <x v="1"/>
    <x v="1"/>
    <x v="0"/>
    <x v="0"/>
    <x v="0"/>
    <x v="0"/>
    <x v="0"/>
    <x v="0"/>
    <x v="0"/>
    <x v="3"/>
    <x v="0"/>
    <x v="0"/>
  </r>
  <r>
    <x v="2"/>
    <x v="2"/>
    <x v="0"/>
    <x v="0"/>
    <x v="0"/>
    <x v="2"/>
    <x v="0"/>
    <x v="0"/>
    <x v="0"/>
    <x v="0"/>
    <x v="0"/>
    <x v="0"/>
  </r>
  <r>
    <x v="2"/>
    <x v="2"/>
    <x v="0"/>
    <x v="0"/>
    <x v="0"/>
    <x v="0"/>
    <x v="3"/>
    <x v="0"/>
    <x v="0"/>
    <x v="0"/>
    <x v="0"/>
    <x v="0"/>
  </r>
  <r>
    <x v="2"/>
    <x v="2"/>
    <x v="0"/>
    <x v="0"/>
    <x v="0"/>
    <x v="0"/>
    <x v="0"/>
    <x v="4"/>
    <x v="0"/>
    <x v="0"/>
    <x v="0"/>
    <x v="0"/>
  </r>
  <r>
    <x v="2"/>
    <x v="2"/>
    <x v="0"/>
    <x v="0"/>
    <x v="0"/>
    <x v="0"/>
    <x v="0"/>
    <x v="0"/>
    <x v="4"/>
    <x v="0"/>
    <x v="0"/>
    <x v="0"/>
  </r>
  <r>
    <x v="2"/>
    <x v="2"/>
    <x v="0"/>
    <x v="0"/>
    <x v="0"/>
    <x v="0"/>
    <x v="0"/>
    <x v="0"/>
    <x v="0"/>
    <x v="4"/>
    <x v="0"/>
    <x v="0"/>
  </r>
  <r>
    <x v="3"/>
    <x v="3"/>
    <x v="0"/>
    <x v="0"/>
    <x v="0"/>
    <x v="3"/>
    <x v="0"/>
    <x v="0"/>
    <x v="0"/>
    <x v="0"/>
    <x v="0"/>
    <x v="0"/>
  </r>
  <r>
    <x v="3"/>
    <x v="3"/>
    <x v="0"/>
    <x v="0"/>
    <x v="0"/>
    <x v="0"/>
    <x v="4"/>
    <x v="0"/>
    <x v="0"/>
    <x v="0"/>
    <x v="0"/>
    <x v="0"/>
  </r>
  <r>
    <x v="3"/>
    <x v="3"/>
    <x v="0"/>
    <x v="0"/>
    <x v="0"/>
    <x v="0"/>
    <x v="0"/>
    <x v="5"/>
    <x v="0"/>
    <x v="0"/>
    <x v="0"/>
    <x v="0"/>
  </r>
  <r>
    <x v="3"/>
    <x v="3"/>
    <x v="0"/>
    <x v="0"/>
    <x v="0"/>
    <x v="0"/>
    <x v="0"/>
    <x v="0"/>
    <x v="5"/>
    <x v="0"/>
    <x v="0"/>
    <x v="0"/>
  </r>
  <r>
    <x v="3"/>
    <x v="3"/>
    <x v="0"/>
    <x v="0"/>
    <x v="0"/>
    <x v="0"/>
    <x v="0"/>
    <x v="0"/>
    <x v="0"/>
    <x v="5"/>
    <x v="0"/>
    <x v="0"/>
  </r>
  <r>
    <x v="4"/>
    <x v="4"/>
    <x v="0"/>
    <x v="0"/>
    <x v="0"/>
    <x v="4"/>
    <x v="0"/>
    <x v="0"/>
    <x v="0"/>
    <x v="0"/>
    <x v="0"/>
    <x v="0"/>
  </r>
  <r>
    <x v="4"/>
    <x v="4"/>
    <x v="0"/>
    <x v="0"/>
    <x v="0"/>
    <x v="0"/>
    <x v="0"/>
    <x v="0"/>
    <x v="0"/>
    <x v="0"/>
    <x v="0"/>
    <x v="0"/>
  </r>
  <r>
    <x v="4"/>
    <x v="4"/>
    <x v="0"/>
    <x v="0"/>
    <x v="0"/>
    <x v="0"/>
    <x v="0"/>
    <x v="0"/>
    <x v="0"/>
    <x v="0"/>
    <x v="0"/>
    <x v="0"/>
  </r>
  <r>
    <x v="4"/>
    <x v="4"/>
    <x v="2"/>
    <x v="0"/>
    <x v="0"/>
    <x v="0"/>
    <x v="0"/>
    <x v="0"/>
    <x v="0"/>
    <x v="0"/>
    <x v="0"/>
    <x v="0"/>
  </r>
  <r>
    <x v="4"/>
    <x v="4"/>
    <x v="0"/>
    <x v="1"/>
    <x v="0"/>
    <x v="0"/>
    <x v="0"/>
    <x v="0"/>
    <x v="0"/>
    <x v="0"/>
    <x v="0"/>
    <x v="0"/>
  </r>
  <r>
    <x v="4"/>
    <x v="4"/>
    <x v="0"/>
    <x v="0"/>
    <x v="2"/>
    <x v="0"/>
    <x v="0"/>
    <x v="0"/>
    <x v="0"/>
    <x v="0"/>
    <x v="0"/>
    <x v="0"/>
  </r>
  <r>
    <x v="4"/>
    <x v="4"/>
    <x v="0"/>
    <x v="0"/>
    <x v="0"/>
    <x v="0"/>
    <x v="5"/>
    <x v="0"/>
    <x v="0"/>
    <x v="0"/>
    <x v="0"/>
    <x v="0"/>
  </r>
  <r>
    <x v="4"/>
    <x v="4"/>
    <x v="0"/>
    <x v="0"/>
    <x v="0"/>
    <x v="0"/>
    <x v="6"/>
    <x v="0"/>
    <x v="0"/>
    <x v="0"/>
    <x v="0"/>
    <x v="0"/>
  </r>
  <r>
    <x v="4"/>
    <x v="4"/>
    <x v="0"/>
    <x v="0"/>
    <x v="0"/>
    <x v="0"/>
    <x v="0"/>
    <x v="6"/>
    <x v="0"/>
    <x v="0"/>
    <x v="0"/>
    <x v="0"/>
  </r>
  <r>
    <x v="4"/>
    <x v="4"/>
    <x v="0"/>
    <x v="0"/>
    <x v="0"/>
    <x v="0"/>
    <x v="0"/>
    <x v="7"/>
    <x v="0"/>
    <x v="0"/>
    <x v="0"/>
    <x v="0"/>
  </r>
  <r>
    <x v="5"/>
    <x v="5"/>
    <x v="0"/>
    <x v="0"/>
    <x v="0"/>
    <x v="0"/>
    <x v="0"/>
    <x v="0"/>
    <x v="0"/>
    <x v="0"/>
    <x v="0"/>
    <x v="1"/>
  </r>
  <r>
    <x v="5"/>
    <x v="5"/>
    <x v="0"/>
    <x v="0"/>
    <x v="0"/>
    <x v="0"/>
    <x v="0"/>
    <x v="0"/>
    <x v="0"/>
    <x v="0"/>
    <x v="0"/>
    <x v="0"/>
  </r>
  <r>
    <x v="6"/>
    <x v="6"/>
    <x v="3"/>
    <x v="2"/>
    <x v="3"/>
    <x v="5"/>
    <x v="7"/>
    <x v="8"/>
    <x v="6"/>
    <x v="6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compact="0" indent="0" compactData="0" showDrill="1" multipleFieldFilters="0" rowHeaderCaption="BRANCH" grandTotalCaption="GRAND TOTAL">
  <location ref="A8:V15" firstHeaderRow="0" firstDataRow="1" firstDataCol="2"/>
  <pivotFields count="25">
    <pivotField axis="axisRow" name="SALES REP" compact="0" outline="0" showAll="0">
      <items count="8">
        <item x="2"/>
        <item x="0"/>
        <item x="4"/>
        <item x="6"/>
        <item x="3"/>
        <item x="1"/>
        <item x="5"/>
        <item t="default"/>
      </items>
    </pivotField>
    <pivotField axis="axisRow" compact="0" defaultSubtotal="0" outline="0" subtotalTop="0" showAll="0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showAll="0">
      <items count="5">
        <item x="0"/>
        <item x="1"/>
        <item x="2"/>
        <item x="3"/>
        <item t="default"/>
      </items>
    </pivotField>
    <pivotField dataField="1" compact="0" outline="0" subtotalTop="0" showAll="0">
      <items count="4">
        <item x="0"/>
        <item x="1"/>
        <item x="2"/>
        <item t="default"/>
      </items>
    </pivotField>
    <pivotField dataField="1" compact="0" outline="0" subtotalTop="0" showAll="0">
      <items count="5">
        <item x="0"/>
        <item x="2"/>
        <item x="1"/>
        <item x="3"/>
        <item t="default"/>
      </items>
    </pivotField>
    <pivotField dataField="1" compact="0" outline="0" subtotalTop="0" showAll="0">
      <items count="7">
        <item x="0"/>
        <item x="3"/>
        <item x="1"/>
        <item x="4"/>
        <item x="2"/>
        <item x="5"/>
        <item t="default"/>
      </items>
    </pivotField>
    <pivotField dataField="1" compact="0" outline="0" subtotalTop="0" showAll="0">
      <items count="9">
        <item x="0"/>
        <item x="6"/>
        <item x="2"/>
        <item x="3"/>
        <item x="4"/>
        <item x="5"/>
        <item x="1"/>
        <item x="7"/>
        <item t="default"/>
      </items>
    </pivotField>
    <pivotField dataField="1" compact="0" outline="0" subtotalTop="0" showAll="0">
      <items count="10">
        <item x="0"/>
        <item x="6"/>
        <item x="3"/>
        <item x="5"/>
        <item x="7"/>
        <item x="2"/>
        <item x="1"/>
        <item x="4"/>
        <item x="8"/>
        <item t="default"/>
      </items>
    </pivotField>
    <pivotField dataField="1" compact="0" outline="0" subtotalTop="0" showAll="0">
      <items count="8">
        <item x="0"/>
        <item x="2"/>
        <item x="1"/>
        <item x="5"/>
        <item x="3"/>
        <item x="4"/>
        <item x="6"/>
        <item t="default"/>
      </items>
    </pivotField>
    <pivotField dataField="1" compact="0" outline="0" subtotalTop="0" showAll="0">
      <items count="8">
        <item x="0"/>
        <item x="2"/>
        <item x="5"/>
        <item x="3"/>
        <item x="4"/>
        <item x="1"/>
        <item x="6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">
        <item x="0"/>
        <item x="1"/>
        <item x="2"/>
        <item t="default"/>
      </items>
    </pivotField>
    <pivotField dragToCol="0" dragToPage="0" dragToRow="0" compact="0" defaultSubtotal="0" outline="0" showAll="0"/>
    <pivotField dragToCol="0" dragToPage="0" dragToRow="0" compact="0" defaultSubtotal="0" outline="0" showAll="0"/>
    <pivotField dragToCol="0" dragToPage="0" dragToRow="0" compact="0" defaultSubtotal="0" outline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  <pivotField dataField="1" dragToCol="0" dragToPage="0" dragToRow="0" compact="0" outline="0" subtotalTop="0" showAll="0"/>
  </pivotFields>
  <rowFields count="2">
    <field x="1"/>
    <field x="0"/>
  </rowFields>
  <rowItems count="7">
    <i>
      <x/>
      <x v="1"/>
    </i>
    <i>
      <x v="1"/>
      <x v="5"/>
    </i>
    <i>
      <x v="2"/>
      <x/>
    </i>
    <i>
      <x v="3"/>
      <x v="4"/>
    </i>
    <i>
      <x v="4"/>
      <x v="2"/>
    </i>
    <i>
      <x v="5"/>
      <x v="6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GR: VAL: (Sal:)" fld="2" baseField="0" baseItem="0" numFmtId="39"/>
    <dataField name="VAL: (Rtns.)" fld="3" baseField="0" baseItem="0" numFmtId="39"/>
    <dataField name="Net. Value" fld="15" baseField="0" baseItem="0" numFmtId="39"/>
    <dataField name="Rtn. %" fld="20" baseField="0" baseItem="0" numFmtId="10"/>
    <dataField name="GR: VAL: (Sal:) " fld="4" baseField="0" baseItem="0" numFmtId="39"/>
    <dataField name="VAL: (Rtns.) " fld="5" baseField="0" baseItem="0" numFmtId="39"/>
    <dataField name="Net. Value " fld="16" baseField="0" baseItem="0" numFmtId="39"/>
    <dataField name="Rtn. % " fld="21" baseField="0" baseItem="0" numFmtId="10"/>
    <dataField name="GR: VAL: (Sal:)  " fld="6" baseField="0" baseItem="0" numFmtId="39"/>
    <dataField name="VAL: (Rtns.)  " fld="7" baseField="0" baseItem="0" numFmtId="39"/>
    <dataField name="Net. Value  " fld="17" baseField="0" baseItem="0" numFmtId="39"/>
    <dataField name="Rtn. %  " fld="22" baseField="0" baseItem="0" numFmtId="10"/>
    <dataField name="GR: VAL: (Sal:)   " fld="8" baseField="0" baseItem="0" numFmtId="39"/>
    <dataField name="VAL: (Rtns.)   " fld="9" baseField="0" baseItem="0" numFmtId="39"/>
    <dataField name="Net. Value   " fld="18" baseField="0" baseItem="0" numFmtId="39"/>
    <dataField name="Rtn. %   " fld="23" baseField="0" baseItem="0" numFmtId="10"/>
    <dataField name="GR: VAL: (Sal:)    " fld="10" baseField="0" baseItem="0" numFmtId="39"/>
    <dataField name="VAL: (Rtns.)    " fld="11" baseField="0" baseItem="0" numFmtId="39"/>
    <dataField name="Net. Value    " fld="19" baseField="0" baseItem="0" numFmtId="39"/>
    <dataField name="Rtn. %    " fld="24" baseField="0" baseItem="0" numFmtId="10"/>
  </dataFields>
  <formats count="67">
    <format dxfId="0">
      <pivotArea field="0" type="button" dataOnly="0" labelOnly="1" outline="0" fieldPosition="0"/>
    </format>
    <format dxfId="1">
      <pivotArea field="0" type="button" dataOnly="0" labelOnly="1" outline="0" fieldPosition="0"/>
    </format>
    <format dxfId="2">
      <pivotArea field="0" type="button" dataOnly="0" labelOnly="1" outline="0" fieldPosition="0"/>
    </format>
    <format dxfId="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7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8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2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10"/>
          </reference>
        </references>
      </pivotArea>
    </format>
    <format dxfId="14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15">
      <pivotArea collapsedLevelsAreSubtotals="1" fieldPosition="0">
        <references count="1">
          <reference field="4294967294" count="1" selected="0">
            <x v="12"/>
          </reference>
        </references>
      </pivotArea>
    </format>
    <format dxfId="16">
      <pivotArea collapsedLevelsAreSubtotals="1" fieldPosition="0">
        <references count="1">
          <reference field="4294967294" count="1" selected="0">
            <x v="13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14"/>
          </reference>
        </references>
      </pivotArea>
    </format>
    <format dxfId="18">
      <pivotArea collapsedLevelsAreSubtotals="1" fieldPosition="0">
        <references count="1">
          <reference field="4294967294" count="1" selected="0">
            <x v="15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16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17"/>
          </reference>
        </references>
      </pivotArea>
    </format>
    <format dxfId="21">
      <pivotArea collapsedLevelsAreSubtotals="1" fieldPosition="0">
        <references count="1">
          <reference field="4294967294" count="1" selected="0">
            <x v="18"/>
          </reference>
        </references>
      </pivotArea>
    </format>
    <format dxfId="22">
      <pivotArea collapsedLevelsAreSubtotals="1" fieldPosition="0">
        <references count="1">
          <reference field="4294967294" count="1" selected="0">
            <x v="19"/>
          </reference>
        </references>
      </pivotArea>
    </format>
    <format dxfId="23">
      <pivotArea field="1" type="button" dataOnly="0" labelOnly="1" outline="0" fieldPosition="0"/>
    </format>
    <format dxfId="24">
      <pivotArea field="0" type="button" dataOnly="0" labelOnly="1" outline="0" fieldPosition="0"/>
    </format>
    <format dxfId="25">
      <pivotArea dataOnly="0" labelOnly="1" fieldPosition="0">
        <references count="1">
          <reference field="4294967294" count="1">
            <x v="0"/>
          </reference>
        </references>
      </pivotArea>
    </format>
    <format dxfId="26">
      <pivotArea dataOnly="0" labelOnly="1" fieldPosition="0">
        <references count="1">
          <reference field="4294967294" count="1">
            <x v="1"/>
          </reference>
        </references>
      </pivotArea>
    </format>
    <format dxfId="27">
      <pivotArea dataOnly="0" labelOnly="1" fieldPosition="0">
        <references count="1">
          <reference field="4294967294" count="1">
            <x v="2"/>
          </reference>
        </references>
      </pivotArea>
    </format>
    <format dxfId="28">
      <pivotArea dataOnly="0" labelOnly="1" fieldPosition="0">
        <references count="1">
          <reference field="4294967294" count="1">
            <x v="3"/>
          </reference>
        </references>
      </pivotArea>
    </format>
    <format dxfId="29">
      <pivotArea dataOnly="0" labelOnly="1" fieldPosition="0">
        <references count="1">
          <reference field="4294967294" count="1">
            <x v="4"/>
          </reference>
        </references>
      </pivotArea>
    </format>
    <format dxfId="30">
      <pivotArea dataOnly="0" labelOnly="1" fieldPosition="0">
        <references count="1">
          <reference field="4294967294" count="1">
            <x v="5"/>
          </reference>
        </references>
      </pivotArea>
    </format>
    <format dxfId="31">
      <pivotArea dataOnly="0" labelOnly="1" fieldPosition="0">
        <references count="1">
          <reference field="4294967294" count="1">
            <x v="6"/>
          </reference>
        </references>
      </pivotArea>
    </format>
    <format dxfId="32">
      <pivotArea dataOnly="0" labelOnly="1" fieldPosition="0">
        <references count="1">
          <reference field="4294967294" count="1">
            <x v="7"/>
          </reference>
        </references>
      </pivotArea>
    </format>
    <format dxfId="33">
      <pivotArea dataOnly="0" labelOnly="1" fieldPosition="0">
        <references count="1">
          <reference field="4294967294" count="1">
            <x v="8"/>
          </reference>
        </references>
      </pivotArea>
    </format>
    <format dxfId="34">
      <pivotArea dataOnly="0" labelOnly="1" fieldPosition="0">
        <references count="1">
          <reference field="4294967294" count="1">
            <x v="9"/>
          </reference>
        </references>
      </pivotArea>
    </format>
    <format dxfId="35">
      <pivotArea dataOnly="0" labelOnly="1" fieldPosition="0">
        <references count="1">
          <reference field="4294967294" count="1">
            <x v="10"/>
          </reference>
        </references>
      </pivotArea>
    </format>
    <format dxfId="36">
      <pivotArea dataOnly="0" labelOnly="1" fieldPosition="0">
        <references count="1">
          <reference field="4294967294" count="1">
            <x v="11"/>
          </reference>
        </references>
      </pivotArea>
    </format>
    <format dxfId="37">
      <pivotArea dataOnly="0" labelOnly="1" fieldPosition="0">
        <references count="1">
          <reference field="4294967294" count="1">
            <x v="12"/>
          </reference>
        </references>
      </pivotArea>
    </format>
    <format dxfId="38">
      <pivotArea dataOnly="0" labelOnly="1" fieldPosition="0">
        <references count="1">
          <reference field="4294967294" count="1">
            <x v="13"/>
          </reference>
        </references>
      </pivotArea>
    </format>
    <format dxfId="39">
      <pivotArea dataOnly="0" labelOnly="1" fieldPosition="0">
        <references count="1">
          <reference field="4294967294" count="1">
            <x v="14"/>
          </reference>
        </references>
      </pivotArea>
    </format>
    <format dxfId="40">
      <pivotArea dataOnly="0" labelOnly="1" fieldPosition="0">
        <references count="1">
          <reference field="4294967294" count="1">
            <x v="15"/>
          </reference>
        </references>
      </pivotArea>
    </format>
    <format dxfId="41">
      <pivotArea dataOnly="0" labelOnly="1" fieldPosition="0">
        <references count="1">
          <reference field="4294967294" count="1">
            <x v="16"/>
          </reference>
        </references>
      </pivotArea>
    </format>
    <format dxfId="42">
      <pivotArea dataOnly="0" labelOnly="1" fieldPosition="0">
        <references count="1">
          <reference field="4294967294" count="1">
            <x v="17"/>
          </reference>
        </references>
      </pivotArea>
    </format>
    <format dxfId="43">
      <pivotArea dataOnly="0" labelOnly="1" fieldPosition="0">
        <references count="1">
          <reference field="4294967294" count="1">
            <x v="18"/>
          </reference>
        </references>
      </pivotArea>
    </format>
    <format dxfId="44">
      <pivotArea dataOnly="0" labelOnly="1" fieldPosition="0">
        <references count="1">
          <reference field="4294967294" count="1">
            <x v="19"/>
          </reference>
        </references>
      </pivotArea>
    </format>
    <format dxfId="45">
      <pivotArea field="1" type="button" dataOnly="0" labelOnly="1" outline="0" fieldPosition="0"/>
    </format>
    <format dxfId="46">
      <pivotArea field="0" type="button" dataOnly="0" labelOnly="1" outline="0" fieldPosition="0"/>
    </format>
    <format dxfId="47">
      <pivotArea dataOnly="0" labelOnly="1" fieldPosition="0">
        <references count="1">
          <reference field="4294967294" count="1">
            <x v="0"/>
          </reference>
        </references>
      </pivotArea>
    </format>
    <format dxfId="48">
      <pivotArea dataOnly="0" labelOnly="1" fieldPosition="0">
        <references count="1">
          <reference field="4294967294" count="1">
            <x v="1"/>
          </reference>
        </references>
      </pivotArea>
    </format>
    <format dxfId="49">
      <pivotArea dataOnly="0" labelOnly="1" fieldPosition="0">
        <references count="1">
          <reference field="4294967294" count="1">
            <x v="2"/>
          </reference>
        </references>
      </pivotArea>
    </format>
    <format dxfId="50">
      <pivotArea dataOnly="0" labelOnly="1" fieldPosition="0">
        <references count="1">
          <reference field="4294967294" count="1">
            <x v="3"/>
          </reference>
        </references>
      </pivotArea>
    </format>
    <format dxfId="51">
      <pivotArea dataOnly="0" labelOnly="1" fieldPosition="0">
        <references count="1">
          <reference field="4294967294" count="1">
            <x v="4"/>
          </reference>
        </references>
      </pivotArea>
    </format>
    <format dxfId="52">
      <pivotArea dataOnly="0" labelOnly="1" fieldPosition="0">
        <references count="1">
          <reference field="4294967294" count="1">
            <x v="5"/>
          </reference>
        </references>
      </pivotArea>
    </format>
    <format dxfId="53">
      <pivotArea dataOnly="0" labelOnly="1" fieldPosition="0">
        <references count="1">
          <reference field="4294967294" count="1">
            <x v="6"/>
          </reference>
        </references>
      </pivotArea>
    </format>
    <format dxfId="54">
      <pivotArea dataOnly="0" labelOnly="1" fieldPosition="0">
        <references count="1">
          <reference field="4294967294" count="1">
            <x v="7"/>
          </reference>
        </references>
      </pivotArea>
    </format>
    <format dxfId="55">
      <pivotArea dataOnly="0" labelOnly="1" fieldPosition="0">
        <references count="1">
          <reference field="4294967294" count="1">
            <x v="8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dataOnly="0" labelOnly="1" fieldPosition="0">
        <references count="1">
          <reference field="4294967294" count="1">
            <x v="10"/>
          </reference>
        </references>
      </pivotArea>
    </format>
    <format dxfId="58">
      <pivotArea dataOnly="0" labelOnly="1" fieldPosition="0">
        <references count="1">
          <reference field="4294967294" count="1">
            <x v="11"/>
          </reference>
        </references>
      </pivotArea>
    </format>
    <format dxfId="59">
      <pivotArea dataOnly="0" labelOnly="1" fieldPosition="0">
        <references count="1">
          <reference field="4294967294" count="1">
            <x v="12"/>
          </reference>
        </references>
      </pivotArea>
    </format>
    <format dxfId="60">
      <pivotArea dataOnly="0" labelOnly="1" fieldPosition="0">
        <references count="1">
          <reference field="4294967294" count="1">
            <x v="13"/>
          </reference>
        </references>
      </pivotArea>
    </format>
    <format dxfId="61">
      <pivotArea dataOnly="0" labelOnly="1" fieldPosition="0">
        <references count="1">
          <reference field="4294967294" count="1">
            <x v="14"/>
          </reference>
        </references>
      </pivotArea>
    </format>
    <format dxfId="62">
      <pivotArea dataOnly="0" labelOnly="1" fieldPosition="0">
        <references count="1">
          <reference field="4294967294" count="1">
            <x v="15"/>
          </reference>
        </references>
      </pivotArea>
    </format>
    <format dxfId="63">
      <pivotArea dataOnly="0" labelOnly="1" fieldPosition="0">
        <references count="1">
          <reference field="4294967294" count="1">
            <x v="16"/>
          </reference>
        </references>
      </pivotArea>
    </format>
    <format dxfId="64">
      <pivotArea dataOnly="0" labelOnly="1" fieldPosition="0">
        <references count="1">
          <reference field="4294967294" count="1">
            <x v="17"/>
          </reference>
        </references>
      </pivotArea>
    </format>
    <format dxfId="65">
      <pivotArea dataOnly="0" labelOnly="1" fieldPosition="0">
        <references count="1">
          <reference field="4294967294" count="1">
            <x v="18"/>
          </reference>
        </references>
      </pivotArea>
    </format>
    <format dxfId="66">
      <pivotArea dataOnly="0" labelOnly="1" fieldPosition="0">
        <references count="1">
          <reference field="4294967294" count="1">
            <x v="19"/>
          </reference>
        </references>
      </pivotArea>
    </format>
  </formats>
  <pivotTableStyleInfo name="PivotTable Style 2" showRowHeaders="1" showColHeaders="1" showLastColumn="1"/>
  <filters count="2">
    <filter evalOrder="-1" fld="0" id="6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1" id="9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043820" totalsRowCount="1">
  <autoFilter ref="A1:L1043819"/>
  <tableColumns count="12">
    <tableColumn id="1" name="SalesRep" dataDxfId="67"/>
    <tableColumn id="2" name="Route" dataDxfId="68"/>
    <tableColumn id="3" name="MonthOneGross" dataDxfId="69"/>
    <tableColumn id="4" name="MonthOneReturn" dataDxfId="70"/>
    <tableColumn id="5" name="MonthTwoGross" dataDxfId="71"/>
    <tableColumn id="6" name="MonthTwoReturn" dataDxfId="72"/>
    <tableColumn id="7" name="MonthThreeGross" dataDxfId="73"/>
    <tableColumn id="8" name="MonthThreeReturn" dataDxfId="74"/>
    <tableColumn id="9" name="MonthFourGross" dataDxfId="75"/>
    <tableColumn id="10" name="MonthFourReturn" dataDxfId="76"/>
    <tableColumn id="11" name="MonthFiveGross" dataDxfId="77"/>
    <tableColumn id="12" name="MonthFiveReturn" dataDxfId="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3820"/>
  <sheetViews>
    <sheetView workbookViewId="0">
      <selection activeCell="G10" sqref="G10"/>
    </sheetView>
  </sheetViews>
  <sheetFormatPr defaultColWidth="9" defaultRowHeight="15"/>
  <cols>
    <col min="1" max="1" width="16" customWidth="1"/>
    <col min="2" max="2" width="6.85714285714286" customWidth="1"/>
    <col min="3" max="3" width="15.4285714285714" customWidth="1"/>
    <col min="4" max="4" width="9.85714285714286" customWidth="1"/>
    <col min="5" max="5" width="17" customWidth="1"/>
    <col min="6" max="6" width="18.1428571428571" customWidth="1"/>
    <col min="7" max="7" width="16.5714285714286" customWidth="1"/>
    <col min="8" max="8" width="19.8571428571429" customWidth="1"/>
    <col min="9" max="9" width="20" customWidth="1"/>
    <col min="10" max="10" width="11.2857142857143" customWidth="1"/>
    <col min="11" max="11" width="14.1428571428571" customWidth="1"/>
    <col min="12" max="12" width="13.2857142857143" customWidth="1"/>
    <col min="17" max="17" width="12.428571428571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 t="s">
        <v>12</v>
      </c>
      <c r="B2" s="13" t="s">
        <v>13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/>
    </row>
    <row r="3" spans="1:13">
      <c r="A3" t="s">
        <v>12</v>
      </c>
      <c r="B3" s="13" t="s">
        <v>13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/>
    </row>
    <row r="4" spans="1:13">
      <c r="A4" t="s">
        <v>12</v>
      </c>
      <c r="B4" s="13" t="s">
        <v>13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355633.766809265</v>
      </c>
      <c r="I4" s="14">
        <v>0</v>
      </c>
      <c r="J4" s="14">
        <v>0</v>
      </c>
      <c r="K4" s="14">
        <v>0</v>
      </c>
      <c r="L4" s="14">
        <v>0</v>
      </c>
      <c r="M4" s="14"/>
    </row>
    <row r="5" spans="1:13">
      <c r="A5" t="s">
        <v>12</v>
      </c>
      <c r="B5" s="13" t="s">
        <v>13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11342.5255228129</v>
      </c>
      <c r="J5" s="14">
        <v>0</v>
      </c>
      <c r="K5" s="14">
        <v>0</v>
      </c>
      <c r="L5" s="14">
        <v>0</v>
      </c>
      <c r="M5" s="14"/>
    </row>
    <row r="6" spans="1:13">
      <c r="A6" t="s">
        <v>12</v>
      </c>
      <c r="B6" s="13" t="s">
        <v>13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697993.966560428</v>
      </c>
      <c r="K6" s="14">
        <v>0</v>
      </c>
      <c r="L6" s="14">
        <v>0</v>
      </c>
      <c r="M6" s="14"/>
    </row>
    <row r="7" spans="1:13">
      <c r="A7" t="s">
        <v>12</v>
      </c>
      <c r="B7" s="13" t="s">
        <v>13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/>
    </row>
    <row r="8" spans="1:13">
      <c r="A8" t="s">
        <v>12</v>
      </c>
      <c r="B8" s="13" t="s">
        <v>13</v>
      </c>
      <c r="C8" s="14">
        <v>0</v>
      </c>
      <c r="D8" s="14">
        <v>0</v>
      </c>
      <c r="E8" s="14">
        <v>0</v>
      </c>
      <c r="F8" s="14">
        <v>0</v>
      </c>
      <c r="G8" s="14">
        <v>722465.9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/>
    </row>
    <row r="9" spans="1:13">
      <c r="A9" t="s">
        <v>12</v>
      </c>
      <c r="B9" s="13" t="s">
        <v>13</v>
      </c>
      <c r="C9" s="14">
        <v>165090.23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/>
    </row>
    <row r="10" spans="1:13">
      <c r="A10" t="s">
        <v>12</v>
      </c>
      <c r="B10" s="13" t="s">
        <v>13</v>
      </c>
      <c r="C10" s="14">
        <v>0</v>
      </c>
      <c r="D10" s="14">
        <v>0</v>
      </c>
      <c r="E10" s="14">
        <v>1317593.08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/>
    </row>
    <row r="11" spans="1:13">
      <c r="A11" t="s">
        <v>12</v>
      </c>
      <c r="B11" s="13" t="s">
        <v>13</v>
      </c>
      <c r="C11" s="14">
        <v>0</v>
      </c>
      <c r="D11" s="14">
        <v>0</v>
      </c>
      <c r="E11" s="14">
        <v>0</v>
      </c>
      <c r="F11" s="14">
        <v>241573.25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/>
    </row>
    <row r="12" spans="1:13">
      <c r="A12" t="s">
        <v>12</v>
      </c>
      <c r="B12" s="13" t="s">
        <v>13</v>
      </c>
      <c r="C12" s="14">
        <v>0</v>
      </c>
      <c r="D12" s="14">
        <v>0</v>
      </c>
      <c r="E12" s="14">
        <v>0</v>
      </c>
      <c r="F12" s="14">
        <v>0</v>
      </c>
      <c r="G12" s="14">
        <v>17560.03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/>
    </row>
    <row r="13" spans="1:13">
      <c r="A13" t="s">
        <v>12</v>
      </c>
      <c r="B13" s="13" t="s">
        <v>13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2849.23</v>
      </c>
      <c r="J13" s="14">
        <v>0</v>
      </c>
      <c r="K13" s="14">
        <v>0</v>
      </c>
      <c r="L13" s="14">
        <v>0</v>
      </c>
      <c r="M13" s="14"/>
    </row>
    <row r="14" spans="1:13">
      <c r="A14" t="s">
        <v>12</v>
      </c>
      <c r="B14" s="13" t="s">
        <v>13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452.04</v>
      </c>
      <c r="K14" s="14">
        <v>0</v>
      </c>
      <c r="L14" s="14">
        <v>0</v>
      </c>
      <c r="M14" s="14"/>
    </row>
    <row r="15" spans="1:13">
      <c r="A15" t="s">
        <v>12</v>
      </c>
      <c r="B15" s="13" t="s">
        <v>13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355486.25</v>
      </c>
      <c r="I15" s="14">
        <v>0</v>
      </c>
      <c r="J15" s="14">
        <v>0</v>
      </c>
      <c r="K15" s="14">
        <v>0</v>
      </c>
      <c r="L15" s="14">
        <v>0</v>
      </c>
      <c r="M15" s="14"/>
    </row>
    <row r="16" spans="1:13">
      <c r="A16" t="s">
        <v>14</v>
      </c>
      <c r="B16" s="13" t="s">
        <v>15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91218.61</v>
      </c>
      <c r="I16" s="14">
        <v>0</v>
      </c>
      <c r="J16" s="14">
        <v>0</v>
      </c>
      <c r="K16" s="14">
        <v>0</v>
      </c>
      <c r="L16" s="14">
        <v>0</v>
      </c>
      <c r="M16" s="14"/>
    </row>
    <row r="17" spans="1:13">
      <c r="A17" t="s">
        <v>14</v>
      </c>
      <c r="B17" s="13" t="s">
        <v>15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250795.73</v>
      </c>
      <c r="J17" s="14">
        <v>0</v>
      </c>
      <c r="K17" s="14">
        <v>0</v>
      </c>
      <c r="L17" s="14">
        <v>0</v>
      </c>
      <c r="M17" s="14"/>
    </row>
    <row r="18" spans="1:13">
      <c r="A18" t="s">
        <v>14</v>
      </c>
      <c r="B18" s="13" t="s">
        <v>15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63817.25</v>
      </c>
      <c r="K18" s="14">
        <v>0</v>
      </c>
      <c r="L18" s="14">
        <v>0</v>
      </c>
      <c r="M18" s="14"/>
    </row>
    <row r="19" spans="1:13">
      <c r="A19" t="s">
        <v>16</v>
      </c>
      <c r="B19" s="13" t="s">
        <v>17</v>
      </c>
      <c r="C19" s="14">
        <v>0</v>
      </c>
      <c r="D19" s="14">
        <v>0</v>
      </c>
      <c r="E19" s="14">
        <v>0</v>
      </c>
      <c r="F19" s="14">
        <v>1490327.49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/>
    </row>
    <row r="20" spans="1:13">
      <c r="A20" t="s">
        <v>16</v>
      </c>
      <c r="B20" s="13" t="s">
        <v>17</v>
      </c>
      <c r="C20" s="14">
        <v>0</v>
      </c>
      <c r="D20" s="14">
        <v>0</v>
      </c>
      <c r="E20" s="14">
        <v>0</v>
      </c>
      <c r="F20" s="14">
        <v>0</v>
      </c>
      <c r="G20" s="14">
        <v>82398.5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/>
    </row>
    <row r="21" spans="1:13">
      <c r="A21" t="s">
        <v>16</v>
      </c>
      <c r="B21" s="13" t="s">
        <v>17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974670.81</v>
      </c>
      <c r="I21" s="14">
        <v>0</v>
      </c>
      <c r="J21" s="14">
        <v>0</v>
      </c>
      <c r="K21" s="14">
        <v>0</v>
      </c>
      <c r="L21" s="14">
        <v>0</v>
      </c>
      <c r="M21" s="14"/>
    </row>
    <row r="22" spans="1:13">
      <c r="A22" t="s">
        <v>16</v>
      </c>
      <c r="B22" s="13" t="s">
        <v>17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1467348.23</v>
      </c>
      <c r="J22" s="14">
        <v>0</v>
      </c>
      <c r="K22" s="14">
        <v>0</v>
      </c>
      <c r="L22" s="14">
        <v>0</v>
      </c>
      <c r="M22" s="14"/>
    </row>
    <row r="23" spans="1:13">
      <c r="A23" t="s">
        <v>16</v>
      </c>
      <c r="B23" s="13" t="s">
        <v>17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144664.4</v>
      </c>
      <c r="K23" s="14">
        <v>0</v>
      </c>
      <c r="L23" s="14">
        <v>0</v>
      </c>
      <c r="M23" s="14"/>
    </row>
    <row r="24" spans="1:13">
      <c r="A24" t="s">
        <v>18</v>
      </c>
      <c r="B24" s="13" t="s">
        <v>19</v>
      </c>
      <c r="C24" s="14">
        <v>0</v>
      </c>
      <c r="D24" s="14">
        <v>0</v>
      </c>
      <c r="E24" s="14">
        <v>0</v>
      </c>
      <c r="F24" s="14">
        <v>141090.38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/>
    </row>
    <row r="25" spans="1:13">
      <c r="A25" t="s">
        <v>18</v>
      </c>
      <c r="B25" s="13" t="s">
        <v>19</v>
      </c>
      <c r="C25" s="14">
        <v>0</v>
      </c>
      <c r="D25" s="14">
        <v>0</v>
      </c>
      <c r="E25" s="14">
        <v>0</v>
      </c>
      <c r="F25" s="14">
        <v>0</v>
      </c>
      <c r="G25" s="14">
        <v>106022.11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/>
    </row>
    <row r="26" spans="1:13">
      <c r="A26" t="s">
        <v>18</v>
      </c>
      <c r="B26" s="13" t="s">
        <v>19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107915.68</v>
      </c>
      <c r="I26" s="14">
        <v>0</v>
      </c>
      <c r="J26" s="14">
        <v>0</v>
      </c>
      <c r="K26" s="14">
        <v>0</v>
      </c>
      <c r="L26" s="14">
        <v>0</v>
      </c>
      <c r="M26" s="14"/>
    </row>
    <row r="27" spans="1:13">
      <c r="A27" t="s">
        <v>18</v>
      </c>
      <c r="B27" s="13" t="s">
        <v>19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132758.12</v>
      </c>
      <c r="J27" s="14">
        <v>0</v>
      </c>
      <c r="K27" s="14">
        <v>0</v>
      </c>
      <c r="L27" s="14">
        <v>0</v>
      </c>
      <c r="M27" s="14"/>
    </row>
    <row r="28" spans="1:13">
      <c r="A28" t="s">
        <v>18</v>
      </c>
      <c r="B28" s="13" t="s">
        <v>19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27657.94</v>
      </c>
      <c r="K28" s="14">
        <v>0</v>
      </c>
      <c r="L28" s="14">
        <v>0</v>
      </c>
      <c r="M28" s="14"/>
    </row>
    <row r="29" spans="1:13">
      <c r="A29" t="s">
        <v>20</v>
      </c>
      <c r="B29" s="13" t="s">
        <v>21</v>
      </c>
      <c r="C29" s="14">
        <v>0</v>
      </c>
      <c r="D29" s="14">
        <v>0</v>
      </c>
      <c r="E29" s="14">
        <v>0</v>
      </c>
      <c r="F29" s="14">
        <v>552793.62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/>
    </row>
    <row r="30" spans="1:13">
      <c r="A30" t="s">
        <v>20</v>
      </c>
      <c r="B30" s="13" t="s">
        <v>21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/>
    </row>
    <row r="31" spans="1:13">
      <c r="A31" t="s">
        <v>20</v>
      </c>
      <c r="B31" s="13" t="s">
        <v>21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/>
    </row>
    <row r="32" spans="1:12">
      <c r="A32" t="s">
        <v>20</v>
      </c>
      <c r="B32" s="13" t="s">
        <v>21</v>
      </c>
      <c r="C32" s="14">
        <v>468827.04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</row>
    <row r="33" spans="1:12">
      <c r="A33" t="s">
        <v>20</v>
      </c>
      <c r="B33" s="13" t="s">
        <v>21</v>
      </c>
      <c r="C33" s="14">
        <v>0</v>
      </c>
      <c r="D33" s="14">
        <v>161627.91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</row>
    <row r="34" spans="1:12">
      <c r="A34" t="s">
        <v>20</v>
      </c>
      <c r="B34" s="13" t="s">
        <v>21</v>
      </c>
      <c r="C34" s="14">
        <v>0</v>
      </c>
      <c r="D34" s="14">
        <v>0</v>
      </c>
      <c r="E34" s="14">
        <v>102182.02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</row>
    <row r="35" spans="1:12">
      <c r="A35" t="s">
        <v>20</v>
      </c>
      <c r="B35" s="13" t="s">
        <v>21</v>
      </c>
      <c r="C35" s="14">
        <v>0</v>
      </c>
      <c r="D35" s="14">
        <v>0</v>
      </c>
      <c r="E35" s="14">
        <v>0</v>
      </c>
      <c r="F35" s="14">
        <v>0</v>
      </c>
      <c r="G35" s="14">
        <v>324518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</row>
    <row r="36" spans="1:12">
      <c r="A36" t="s">
        <v>20</v>
      </c>
      <c r="B36" s="13" t="s">
        <v>21</v>
      </c>
      <c r="C36" s="14">
        <v>0</v>
      </c>
      <c r="D36" s="14">
        <v>0</v>
      </c>
      <c r="E36" s="14">
        <v>0</v>
      </c>
      <c r="F36" s="14">
        <v>0</v>
      </c>
      <c r="G36" s="14">
        <v>15197.36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</row>
    <row r="37" spans="1:12">
      <c r="A37" t="s">
        <v>20</v>
      </c>
      <c r="B37" s="13" t="s">
        <v>21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64335.82</v>
      </c>
      <c r="I37" s="14">
        <v>0</v>
      </c>
      <c r="J37" s="14">
        <v>0</v>
      </c>
      <c r="K37" s="14">
        <v>0</v>
      </c>
      <c r="L37" s="14">
        <v>0</v>
      </c>
    </row>
    <row r="38" spans="1:12">
      <c r="A38" t="s">
        <v>20</v>
      </c>
      <c r="B38" s="13" t="s">
        <v>21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158519.9</v>
      </c>
      <c r="I38" s="14">
        <v>0</v>
      </c>
      <c r="J38" s="14">
        <v>0</v>
      </c>
      <c r="K38" s="14">
        <v>0</v>
      </c>
      <c r="L38" s="14">
        <v>0</v>
      </c>
    </row>
    <row r="39" spans="1:12">
      <c r="A39" t="s">
        <v>22</v>
      </c>
      <c r="B39" s="13" t="s">
        <v>23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51060</v>
      </c>
    </row>
    <row r="40" spans="1:12">
      <c r="A40" t="s">
        <v>22</v>
      </c>
      <c r="B40" s="13" t="s">
        <v>23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</row>
    <row r="1043820" spans="1:12">
      <c r="A1043820" t="s">
        <v>24</v>
      </c>
      <c r="B1043820" t="s">
        <v>24</v>
      </c>
      <c r="C1043820" t="s">
        <v>24</v>
      </c>
      <c r="D1043820" t="s">
        <v>24</v>
      </c>
      <c r="E1043820" t="s">
        <v>24</v>
      </c>
      <c r="F1043820" t="s">
        <v>24</v>
      </c>
      <c r="G1043820" t="s">
        <v>24</v>
      </c>
      <c r="H1043820" t="s">
        <v>24</v>
      </c>
      <c r="I1043820" t="s">
        <v>24</v>
      </c>
      <c r="J1043820" t="s">
        <v>24</v>
      </c>
      <c r="K1043820" t="s">
        <v>24</v>
      </c>
      <c r="L1043820" t="s">
        <v>24</v>
      </c>
    </row>
  </sheetData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tabSelected="1" workbookViewId="0">
      <selection activeCell="D17" sqref="D17"/>
    </sheetView>
  </sheetViews>
  <sheetFormatPr defaultColWidth="9" defaultRowHeight="15"/>
  <cols>
    <col min="1" max="2" width="16"/>
    <col min="3" max="22" width="16.4285714285714"/>
  </cols>
  <sheetData>
    <row r="1" ht="23.25" spans="1:8">
      <c r="A1" s="2" t="s">
        <v>25</v>
      </c>
      <c r="B1" s="2" t="s">
        <v>25</v>
      </c>
      <c r="C1" s="2" t="s">
        <v>25</v>
      </c>
      <c r="D1" s="2" t="s">
        <v>25</v>
      </c>
      <c r="E1" s="2" t="s">
        <v>25</v>
      </c>
      <c r="F1" s="2" t="s">
        <v>25</v>
      </c>
      <c r="G1" s="2" t="s">
        <v>25</v>
      </c>
      <c r="H1" s="2"/>
    </row>
    <row r="2" spans="1:8">
      <c r="A2" s="3" t="s">
        <v>26</v>
      </c>
      <c r="B2" s="3" t="s">
        <v>26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/>
    </row>
    <row r="3" spans="1:8">
      <c r="A3" s="3" t="s">
        <v>27</v>
      </c>
      <c r="B3" s="3" t="s">
        <v>27</v>
      </c>
      <c r="C3" s="3" t="s">
        <v>27</v>
      </c>
      <c r="D3" s="3" t="s">
        <v>27</v>
      </c>
      <c r="E3" s="3" t="s">
        <v>27</v>
      </c>
      <c r="F3" s="3" t="s">
        <v>27</v>
      </c>
      <c r="G3" s="3" t="s">
        <v>27</v>
      </c>
      <c r="H3" s="3"/>
    </row>
    <row r="4" ht="6" customHeight="1" spans="1:2">
      <c r="A4" s="4"/>
      <c r="B4" s="5"/>
    </row>
    <row r="5" ht="18.75" spans="1:8">
      <c r="A5" s="6" t="s">
        <v>28</v>
      </c>
      <c r="B5" s="6" t="s">
        <v>29</v>
      </c>
      <c r="C5" s="6" t="s">
        <v>29</v>
      </c>
      <c r="D5" s="6" t="s">
        <v>29</v>
      </c>
      <c r="E5" s="6" t="s">
        <v>29</v>
      </c>
      <c r="F5" s="6" t="s">
        <v>29</v>
      </c>
      <c r="G5" s="6" t="s">
        <v>29</v>
      </c>
      <c r="H5" s="6"/>
    </row>
    <row r="7" spans="3:22">
      <c r="C7" s="7" t="s">
        <v>30</v>
      </c>
      <c r="D7" s="8"/>
      <c r="E7" s="8"/>
      <c r="F7" s="9"/>
      <c r="G7" s="7" t="s">
        <v>31</v>
      </c>
      <c r="H7" s="8"/>
      <c r="I7" s="8"/>
      <c r="J7" s="9"/>
      <c r="K7" s="7" t="s">
        <v>32</v>
      </c>
      <c r="L7" s="8"/>
      <c r="M7" s="8"/>
      <c r="N7" s="9"/>
      <c r="O7" s="7" t="s">
        <v>33</v>
      </c>
      <c r="P7" s="8"/>
      <c r="Q7" s="8"/>
      <c r="R7" s="9"/>
      <c r="S7" s="7" t="s">
        <v>34</v>
      </c>
      <c r="T7" s="8"/>
      <c r="U7" s="8"/>
      <c r="V7" s="9"/>
    </row>
    <row r="8" s="1" customFormat="1" spans="1:22">
      <c r="A8" s="10" t="s">
        <v>1</v>
      </c>
      <c r="B8" s="10" t="s">
        <v>35</v>
      </c>
      <c r="C8" s="10" t="s">
        <v>36</v>
      </c>
      <c r="D8" s="10" t="s">
        <v>37</v>
      </c>
      <c r="E8" s="10" t="s">
        <v>38</v>
      </c>
      <c r="F8" s="10" t="s">
        <v>39</v>
      </c>
      <c r="G8" s="10" t="s">
        <v>40</v>
      </c>
      <c r="H8" s="10" t="s">
        <v>41</v>
      </c>
      <c r="I8" s="10" t="s">
        <v>42</v>
      </c>
      <c r="J8" s="10" t="s">
        <v>43</v>
      </c>
      <c r="K8" s="10" t="s">
        <v>44</v>
      </c>
      <c r="L8" s="10" t="s">
        <v>45</v>
      </c>
      <c r="M8" s="10" t="s">
        <v>46</v>
      </c>
      <c r="N8" s="10" t="s">
        <v>47</v>
      </c>
      <c r="O8" s="10" t="s">
        <v>48</v>
      </c>
      <c r="P8" s="10" t="s">
        <v>49</v>
      </c>
      <c r="Q8" s="10" t="s">
        <v>50</v>
      </c>
      <c r="R8" s="10" t="s">
        <v>51</v>
      </c>
      <c r="S8" s="10" t="s">
        <v>52</v>
      </c>
      <c r="T8" s="10" t="s">
        <v>53</v>
      </c>
      <c r="U8" s="10" t="s">
        <v>54</v>
      </c>
      <c r="V8" s="10" t="s">
        <v>55</v>
      </c>
    </row>
    <row r="9" spans="1:22">
      <c r="A9" t="s">
        <v>13</v>
      </c>
      <c r="B9" t="s">
        <v>12</v>
      </c>
      <c r="C9" s="11">
        <v>165090.23</v>
      </c>
      <c r="D9" s="11">
        <v>0</v>
      </c>
      <c r="E9" s="11">
        <v>165090.23</v>
      </c>
      <c r="F9" s="12">
        <v>0</v>
      </c>
      <c r="G9" s="11">
        <v>1317593.08</v>
      </c>
      <c r="H9" s="11">
        <v>241573.25</v>
      </c>
      <c r="I9" s="11">
        <v>1076019.83</v>
      </c>
      <c r="J9" s="12">
        <v>0.183344352415694</v>
      </c>
      <c r="K9" s="11">
        <v>740025.93</v>
      </c>
      <c r="L9" s="11">
        <v>711120.016809265</v>
      </c>
      <c r="M9" s="11">
        <v>28905.913190735</v>
      </c>
      <c r="N9" s="12">
        <v>0.960939323854861</v>
      </c>
      <c r="O9" s="11">
        <v>14191.7555228129</v>
      </c>
      <c r="P9" s="11">
        <v>698446.006560428</v>
      </c>
      <c r="Q9" s="11">
        <v>-684254.251037615</v>
      </c>
      <c r="R9" s="12">
        <v>0</v>
      </c>
      <c r="S9" s="11">
        <v>0</v>
      </c>
      <c r="T9" s="11">
        <v>0</v>
      </c>
      <c r="U9" s="11">
        <v>0</v>
      </c>
      <c r="V9" s="12">
        <v>0</v>
      </c>
    </row>
    <row r="10" spans="1:22">
      <c r="A10" t="s">
        <v>15</v>
      </c>
      <c r="B10" t="s">
        <v>14</v>
      </c>
      <c r="C10" s="11">
        <v>0</v>
      </c>
      <c r="D10" s="11">
        <v>0</v>
      </c>
      <c r="E10" s="11">
        <v>0</v>
      </c>
      <c r="F10" s="12">
        <v>0</v>
      </c>
      <c r="G10" s="11">
        <v>0</v>
      </c>
      <c r="H10" s="11">
        <v>0</v>
      </c>
      <c r="I10" s="11">
        <v>0</v>
      </c>
      <c r="J10" s="12">
        <v>0</v>
      </c>
      <c r="K10" s="11">
        <v>0</v>
      </c>
      <c r="L10" s="11">
        <v>91218.61</v>
      </c>
      <c r="M10" s="11">
        <v>-91218.61</v>
      </c>
      <c r="N10" s="12">
        <v>0</v>
      </c>
      <c r="O10" s="11">
        <v>250795.73</v>
      </c>
      <c r="P10" s="11">
        <v>63817.25</v>
      </c>
      <c r="Q10" s="11">
        <v>186978.48</v>
      </c>
      <c r="R10" s="12">
        <v>0.254459077114271</v>
      </c>
      <c r="S10" s="11">
        <v>0</v>
      </c>
      <c r="T10" s="11">
        <v>0</v>
      </c>
      <c r="U10" s="11">
        <v>0</v>
      </c>
      <c r="V10" s="12">
        <v>0</v>
      </c>
    </row>
    <row r="11" spans="1:22">
      <c r="A11" t="s">
        <v>17</v>
      </c>
      <c r="B11" t="s">
        <v>16</v>
      </c>
      <c r="C11" s="11">
        <v>0</v>
      </c>
      <c r="D11" s="11">
        <v>0</v>
      </c>
      <c r="E11" s="11">
        <v>0</v>
      </c>
      <c r="F11" s="12">
        <v>0</v>
      </c>
      <c r="G11" s="11">
        <v>0</v>
      </c>
      <c r="H11" s="11">
        <v>1490327.49</v>
      </c>
      <c r="I11" s="11">
        <v>-1490327.49</v>
      </c>
      <c r="J11" s="12">
        <v>0</v>
      </c>
      <c r="K11" s="11">
        <v>82398.5</v>
      </c>
      <c r="L11" s="11">
        <v>974670.81</v>
      </c>
      <c r="M11" s="11">
        <v>-892272.31</v>
      </c>
      <c r="N11" s="12">
        <v>0</v>
      </c>
      <c r="O11" s="11">
        <v>1467348.23</v>
      </c>
      <c r="P11" s="11">
        <v>144664.4</v>
      </c>
      <c r="Q11" s="11">
        <v>1322683.83</v>
      </c>
      <c r="R11" s="12">
        <v>0.0985890036477572</v>
      </c>
      <c r="S11" s="11">
        <v>0</v>
      </c>
      <c r="T11" s="11">
        <v>0</v>
      </c>
      <c r="U11" s="11">
        <v>0</v>
      </c>
      <c r="V11" s="12">
        <v>0</v>
      </c>
    </row>
    <row r="12" spans="1:22">
      <c r="A12" t="s">
        <v>19</v>
      </c>
      <c r="B12" t="s">
        <v>18</v>
      </c>
      <c r="C12" s="11">
        <v>0</v>
      </c>
      <c r="D12" s="11">
        <v>0</v>
      </c>
      <c r="E12" s="11">
        <v>0</v>
      </c>
      <c r="F12" s="12">
        <v>0</v>
      </c>
      <c r="G12" s="11">
        <v>0</v>
      </c>
      <c r="H12" s="11">
        <v>141090.38</v>
      </c>
      <c r="I12" s="11">
        <v>-141090.38</v>
      </c>
      <c r="J12" s="12">
        <v>0</v>
      </c>
      <c r="K12" s="11">
        <v>106022.11</v>
      </c>
      <c r="L12" s="11">
        <v>107915.68</v>
      </c>
      <c r="M12" s="11">
        <v>-1893.56999999999</v>
      </c>
      <c r="N12" s="12">
        <v>0</v>
      </c>
      <c r="O12" s="11">
        <v>132758.12</v>
      </c>
      <c r="P12" s="11">
        <v>27657.94</v>
      </c>
      <c r="Q12" s="11">
        <v>105100.18</v>
      </c>
      <c r="R12" s="12">
        <v>0.208333320779173</v>
      </c>
      <c r="S12" s="11">
        <v>0</v>
      </c>
      <c r="T12" s="11">
        <v>0</v>
      </c>
      <c r="U12" s="11">
        <v>0</v>
      </c>
      <c r="V12" s="12">
        <v>0</v>
      </c>
    </row>
    <row r="13" spans="1:22">
      <c r="A13" t="s">
        <v>21</v>
      </c>
      <c r="B13" t="s">
        <v>20</v>
      </c>
      <c r="C13" s="11">
        <v>468827.04</v>
      </c>
      <c r="D13" s="11">
        <v>161627.91</v>
      </c>
      <c r="E13" s="11">
        <v>307199.13</v>
      </c>
      <c r="F13" s="12">
        <v>0.344749547722333</v>
      </c>
      <c r="G13" s="11">
        <v>102182.02</v>
      </c>
      <c r="H13" s="11">
        <v>552793.62</v>
      </c>
      <c r="I13" s="11">
        <v>-450611.6</v>
      </c>
      <c r="J13" s="12">
        <v>0</v>
      </c>
      <c r="K13" s="11">
        <v>339715.36</v>
      </c>
      <c r="L13" s="11">
        <v>222855.72</v>
      </c>
      <c r="M13" s="11">
        <v>116859.64</v>
      </c>
      <c r="N13" s="12">
        <v>0.656007193787175</v>
      </c>
      <c r="O13" s="11">
        <v>0</v>
      </c>
      <c r="P13" s="11">
        <v>0</v>
      </c>
      <c r="Q13" s="11">
        <v>0</v>
      </c>
      <c r="R13" s="12">
        <v>0</v>
      </c>
      <c r="S13" s="11">
        <v>0</v>
      </c>
      <c r="T13" s="11">
        <v>0</v>
      </c>
      <c r="U13" s="11">
        <v>0</v>
      </c>
      <c r="V13" s="12">
        <v>0</v>
      </c>
    </row>
    <row r="14" spans="1:22">
      <c r="A14" t="s">
        <v>23</v>
      </c>
      <c r="B14" t="s">
        <v>22</v>
      </c>
      <c r="C14" s="11">
        <v>0</v>
      </c>
      <c r="D14" s="11">
        <v>0</v>
      </c>
      <c r="E14" s="11">
        <v>0</v>
      </c>
      <c r="F14" s="12">
        <v>0</v>
      </c>
      <c r="G14" s="11">
        <v>0</v>
      </c>
      <c r="H14" s="11">
        <v>0</v>
      </c>
      <c r="I14" s="11">
        <v>0</v>
      </c>
      <c r="J14" s="12">
        <v>0</v>
      </c>
      <c r="K14" s="11">
        <v>0</v>
      </c>
      <c r="L14" s="11">
        <v>0</v>
      </c>
      <c r="M14" s="11">
        <v>0</v>
      </c>
      <c r="N14" s="12">
        <v>0</v>
      </c>
      <c r="O14" s="11">
        <v>0</v>
      </c>
      <c r="P14" s="11">
        <v>0</v>
      </c>
      <c r="Q14" s="11">
        <v>0</v>
      </c>
      <c r="R14" s="12">
        <v>0</v>
      </c>
      <c r="S14" s="11">
        <v>0</v>
      </c>
      <c r="T14" s="11">
        <v>51060</v>
      </c>
      <c r="U14" s="11">
        <v>-51060</v>
      </c>
      <c r="V14" s="12">
        <v>0</v>
      </c>
    </row>
    <row r="15" spans="1:22">
      <c r="A15" t="s">
        <v>56</v>
      </c>
      <c r="C15" s="11">
        <v>633917.27</v>
      </c>
      <c r="D15" s="11">
        <v>161627.91</v>
      </c>
      <c r="E15" s="11">
        <v>472289.36</v>
      </c>
      <c r="F15" s="12">
        <v>0.254966882350437</v>
      </c>
      <c r="G15" s="11">
        <v>1419775.1</v>
      </c>
      <c r="H15" s="11">
        <v>2425784.74</v>
      </c>
      <c r="I15" s="11">
        <v>-1006009.64</v>
      </c>
      <c r="J15" s="12">
        <v>0</v>
      </c>
      <c r="K15" s="11">
        <v>1268161.9</v>
      </c>
      <c r="L15" s="11">
        <v>2107780.83680927</v>
      </c>
      <c r="M15" s="11">
        <v>-839618.93680927</v>
      </c>
      <c r="N15" s="12">
        <v>0</v>
      </c>
      <c r="O15" s="11">
        <v>1865093.83552281</v>
      </c>
      <c r="P15" s="11">
        <v>934585.596560428</v>
      </c>
      <c r="Q15" s="11">
        <v>930508.238962382</v>
      </c>
      <c r="R15" s="12">
        <v>0.501093070364715</v>
      </c>
      <c r="S15" s="11">
        <v>0</v>
      </c>
      <c r="T15" s="11">
        <v>51060</v>
      </c>
      <c r="U15" s="11">
        <v>-51060</v>
      </c>
      <c r="V15" s="12">
        <v>0</v>
      </c>
    </row>
  </sheetData>
  <mergeCells count="9">
    <mergeCell ref="A1:H1"/>
    <mergeCell ref="A2:H2"/>
    <mergeCell ref="A3:H3"/>
    <mergeCell ref="A5:H5"/>
    <mergeCell ref="C7:F7"/>
    <mergeCell ref="G7:J7"/>
    <mergeCell ref="K7:N7"/>
    <mergeCell ref="O7:R7"/>
    <mergeCell ref="S7:V7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MonthlyReturnsAgainst_Sales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Anoj</dc:creator>
  <cp:lastModifiedBy>pdeng3</cp:lastModifiedBy>
  <dcterms:created xsi:type="dcterms:W3CDTF">2018-11-15T14:16:00Z</dcterms:created>
  <dcterms:modified xsi:type="dcterms:W3CDTF">2019-05-15T09:41:41Z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