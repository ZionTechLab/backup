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55" windowHeight="12165" tabRatio="524" activeTab="1"/>
  </bookViews>
  <sheets>
    <sheet name="Raw_Data" sheetId="1" r:id="rId1"/>
    <sheet name="SalesReportDetail_Invoice" sheetId="2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<sst xmlns="http://schemas.openxmlformats.org/spreadsheetml/2006/main" count="90">
  <si>
    <t>TxType</t>
  </si>
  <si>
    <t>Branch</t>
  </si>
  <si>
    <t>Tx ID</t>
  </si>
  <si>
    <t>TxDate</t>
  </si>
  <si>
    <t>SalesRep</t>
  </si>
  <si>
    <t>Customer</t>
  </si>
  <si>
    <t>CustomerClass</t>
  </si>
  <si>
    <t>CustomerType</t>
  </si>
  <si>
    <t>CustomerCategory</t>
  </si>
  <si>
    <t>TotalQty</t>
  </si>
  <si>
    <t>ItemAmount</t>
  </si>
  <si>
    <t>Discount</t>
  </si>
  <si>
    <t>SubTotal</t>
  </si>
  <si>
    <t>NBTAmount</t>
  </si>
  <si>
    <t>VATAmount</t>
  </si>
  <si>
    <t>GrandTotal</t>
  </si>
  <si>
    <t>SVATAmount</t>
  </si>
  <si>
    <t>1-Sales</t>
  </si>
  <si>
    <t>FACTORY - SEEDUWA</t>
  </si>
  <si>
    <t>CSL-TAX-03778</t>
  </si>
  <si>
    <t>PREMALI WIJETHUNGA</t>
  </si>
  <si>
    <t>IC COLLECTION (PVT) LTD</t>
  </si>
  <si>
    <t>LOCAL</t>
  </si>
  <si>
    <t>GENERAL TRADE</t>
  </si>
  <si>
    <t>SHOWROOMS</t>
  </si>
  <si>
    <t>CSL-TAX-03779</t>
  </si>
  <si>
    <t>SAGARA</t>
  </si>
  <si>
    <t>SISURU BOWA CENTRE (PVT) LTD</t>
  </si>
  <si>
    <t>SOUTH</t>
  </si>
  <si>
    <t>CSL-TAX-03784</t>
  </si>
  <si>
    <t>-</t>
  </si>
  <si>
    <t>STAFF SALE-AMALI RANASINGHE EPF 675</t>
  </si>
  <si>
    <t>STAFF SALE</t>
  </si>
  <si>
    <t>CSL-TAX-03785</t>
  </si>
  <si>
    <t>STAFF SALE - MS L G H P CHETHANI - EMP 663</t>
  </si>
  <si>
    <t>CSL-TAX-03786</t>
  </si>
  <si>
    <t>2-Sales Return</t>
  </si>
  <si>
    <t>CSL-SR-00397</t>
  </si>
  <si>
    <t>MALITH</t>
  </si>
  <si>
    <t>RICHARD PIERIS DISTRIBUTORS LTD</t>
  </si>
  <si>
    <t>ARPICO</t>
  </si>
  <si>
    <t>DEALER NETWORK</t>
  </si>
  <si>
    <t>CSL-SR-00398</t>
  </si>
  <si>
    <t>CSL-SR-00399</t>
  </si>
  <si>
    <t>3-Credit Note</t>
  </si>
  <si>
    <t>SHOWROOM - NAWALA</t>
  </si>
  <si>
    <t>CRN/PSRN/000063</t>
  </si>
  <si>
    <t>MR. HUSNY MOHAMED</t>
  </si>
  <si>
    <t>5-POS Sales &amp; Return</t>
  </si>
  <si>
    <t>CSL-SR01-2355</t>
  </si>
  <si>
    <t>CASH  NAWALA</t>
  </si>
  <si>
    <t>OTHER</t>
  </si>
  <si>
    <t>CSL-SR01-2356</t>
  </si>
  <si>
    <t>CSL-SR01-2357</t>
  </si>
  <si>
    <t>MRS.A.GUNASEKARA</t>
  </si>
  <si>
    <t>SHOWROOM - CRESCAT</t>
  </si>
  <si>
    <t>CSL-SR02-1081</t>
  </si>
  <si>
    <t>CASH  CRESCAT</t>
  </si>
  <si>
    <t>CSL-SR02-1082</t>
  </si>
  <si>
    <t>CSL-SR02-1083</t>
  </si>
  <si>
    <t>CSL-SR02-1084</t>
  </si>
  <si>
    <t>SHOWROOM - SEEDUWA</t>
  </si>
  <si>
    <t>CSL-SR03-0545</t>
  </si>
  <si>
    <t>CASH  SEEDUWA</t>
  </si>
  <si>
    <t>CSL-SR03-0546</t>
  </si>
  <si>
    <t>CSL-SR03-0548</t>
  </si>
  <si>
    <t>CSL-SR03-0549</t>
  </si>
  <si>
    <t>CSL-SR03-0550</t>
  </si>
  <si>
    <t>PSRN/000063</t>
  </si>
  <si>
    <t>CELCIUS SOLUTIONS (PVT) LTD</t>
  </si>
  <si>
    <t>NO. 616, NEGOMBO ROAD, LIYANAGEMULLA, SEEDUWA, SRI LANKA.</t>
  </si>
  <si>
    <t>Tel : +94 114 858 859 FAX : +94 114 741 861</t>
  </si>
  <si>
    <t>Sales Detail - Invoice Wise</t>
  </si>
  <si>
    <t>From : 2/9/2019 - To :2/9/2019</t>
  </si>
  <si>
    <t>DATE</t>
  </si>
  <si>
    <t>SALES REP</t>
  </si>
  <si>
    <t>INVOICE / CR NOTE NO</t>
  </si>
  <si>
    <t>CUSTOMER NAME</t>
  </si>
  <si>
    <t>CUS TYPE</t>
  </si>
  <si>
    <t>CUS CATEGORY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</si>
  <si>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</si>
  <si>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</si>
  <si>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</si>
  <si>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</si>
  <si>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</si>
  <si>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</si>
  <si>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</si>
  <si>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</si>
  <si>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</si>
  <si>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Grand Total</t>
  </si>
</sst>
</file>

<file path=xl/styles.xml><?xml version="1.0" encoding="utf-8"?>
<styleSheet xmlns="http://schemas.openxmlformats.org/spreadsheetml/2006/main">
  <numFmts count="6">
    <numFmt numFmtId="176" formatCode="0.00_);[Red]\(0.00\)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.00_ ;_ * \-#,##0.00_ ;_ * &quot;-&quot;??_ ;_ @_ "/>
    <numFmt numFmtId="179" formatCode="dd\-mmm\-yyyy"/>
  </numFmts>
  <fonts count="24">
    <font>
      <sz val="11"/>
      <name val="Calibri"/>
      <charset val="134"/>
    </font>
    <font>
      <sz val="11"/>
      <color theme="1"/>
      <name val="Calibri"/>
      <charset val="134"/>
      <scheme val="minor"/>
    </font>
    <font>
      <b/>
      <sz val="18"/>
      <name val="Calibri"/>
      <charset val="134"/>
    </font>
    <font>
      <b/>
      <sz val="11"/>
      <name val="Calibri"/>
      <charset val="134"/>
    </font>
    <font>
      <b/>
      <sz val="14"/>
      <name val="Calibri"/>
      <charset val="134"/>
    </font>
    <font>
      <b/>
      <sz val="11"/>
      <color theme="0"/>
      <name val="Calibri"/>
      <charset val="134"/>
    </font>
    <font>
      <u/>
      <sz val="11"/>
      <color rgb="FF80008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" fillId="6" borderId="0">
      <alignment vertical="center"/>
    </xf>
    <xf numFmtId="178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7" borderId="3">
      <alignment vertical="center"/>
    </xf>
    <xf numFmtId="0" fontId="9" fillId="0" borderId="2">
      <alignment vertical="center"/>
    </xf>
    <xf numFmtId="0" fontId="1" fillId="2" borderId="1">
      <alignment vertical="center"/>
    </xf>
    <xf numFmtId="0" fontId="12" fillId="0" borderId="0">
      <alignment vertical="center"/>
    </xf>
    <xf numFmtId="0" fontId="7" fillId="11" borderId="0">
      <alignment vertical="center"/>
    </xf>
    <xf numFmtId="0" fontId="6" fillId="0" borderId="0">
      <alignment vertical="center"/>
    </xf>
    <xf numFmtId="0" fontId="1" fillId="10" borderId="0">
      <alignment vertical="center"/>
    </xf>
    <xf numFmtId="0" fontId="14" fillId="0" borderId="0">
      <alignment vertical="center"/>
    </xf>
    <xf numFmtId="0" fontId="1" fillId="15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6" fillId="0" borderId="2">
      <alignment vertical="center"/>
    </xf>
    <xf numFmtId="0" fontId="18" fillId="0" borderId="5">
      <alignment vertical="center"/>
    </xf>
    <xf numFmtId="0" fontId="18" fillId="0" borderId="0">
      <alignment vertical="center"/>
    </xf>
    <xf numFmtId="0" fontId="17" fillId="16" borderId="4">
      <alignment vertical="center"/>
    </xf>
    <xf numFmtId="0" fontId="7" fillId="5" borderId="0">
      <alignment vertical="center"/>
    </xf>
    <xf numFmtId="0" fontId="19" fillId="18" borderId="0">
      <alignment vertical="center"/>
    </xf>
    <xf numFmtId="0" fontId="21" fillId="19" borderId="6">
      <alignment vertical="center"/>
    </xf>
    <xf numFmtId="0" fontId="1" fillId="21" borderId="0">
      <alignment vertical="center"/>
    </xf>
    <xf numFmtId="0" fontId="20" fillId="19" borderId="4">
      <alignment vertical="center"/>
    </xf>
    <xf numFmtId="0" fontId="22" fillId="0" borderId="7">
      <alignment vertical="center"/>
    </xf>
    <xf numFmtId="0" fontId="23" fillId="0" borderId="8">
      <alignment vertical="center"/>
    </xf>
    <xf numFmtId="0" fontId="15" fillId="14" borderId="0">
      <alignment vertical="center"/>
    </xf>
    <xf numFmtId="0" fontId="13" fillId="9" borderId="0">
      <alignment vertical="center"/>
    </xf>
    <xf numFmtId="0" fontId="7" fillId="26" borderId="0">
      <alignment vertical="center"/>
    </xf>
    <xf numFmtId="0" fontId="1" fillId="13" borderId="0">
      <alignment vertical="center"/>
    </xf>
    <xf numFmtId="0" fontId="7" fillId="25" borderId="0">
      <alignment vertical="center"/>
    </xf>
    <xf numFmtId="0" fontId="7" fillId="28" borderId="0">
      <alignment vertical="center"/>
    </xf>
    <xf numFmtId="0" fontId="1" fillId="32" borderId="0">
      <alignment vertical="center"/>
    </xf>
    <xf numFmtId="0" fontId="1" fillId="17" borderId="0">
      <alignment vertical="center"/>
    </xf>
    <xf numFmtId="0" fontId="7" fillId="27" borderId="0">
      <alignment vertical="center"/>
    </xf>
    <xf numFmtId="0" fontId="7" fillId="31" borderId="0">
      <alignment vertical="center"/>
    </xf>
    <xf numFmtId="0" fontId="1" fillId="30" borderId="0">
      <alignment vertical="center"/>
    </xf>
    <xf numFmtId="0" fontId="7" fillId="24" borderId="0">
      <alignment vertical="center"/>
    </xf>
    <xf numFmtId="0" fontId="1" fillId="4" borderId="0">
      <alignment vertical="center"/>
    </xf>
    <xf numFmtId="0" fontId="1" fillId="29" borderId="0">
      <alignment vertical="center"/>
    </xf>
    <xf numFmtId="0" fontId="7" fillId="3" borderId="0">
      <alignment vertical="center"/>
    </xf>
    <xf numFmtId="0" fontId="1" fillId="23" borderId="0">
      <alignment vertical="center"/>
    </xf>
    <xf numFmtId="0" fontId="7" fillId="12" borderId="0">
      <alignment vertical="center"/>
    </xf>
    <xf numFmtId="0" fontId="7" fillId="20" borderId="0">
      <alignment vertical="center"/>
    </xf>
    <xf numFmtId="0" fontId="1" fillId="8" borderId="0">
      <alignment vertical="center"/>
    </xf>
    <xf numFmtId="0" fontId="7" fillId="22" borderId="0">
      <alignment vertical="center"/>
    </xf>
  </cellStyleXfs>
  <cellXfs count="18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 vertical="top" wrapText="1"/>
    </xf>
    <xf numFmtId="178" fontId="1" fillId="0" borderId="0" xfId="2" applyNumberFormat="1" applyFont="1" applyFill="1" applyBorder="1">
      <alignment vertical="center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left"/>
    </xf>
    <xf numFmtId="39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left" indent="1"/>
    </xf>
    <xf numFmtId="58" fontId="0" fillId="0" borderId="0" xfId="0" applyNumberFormat="1" applyFont="1" applyFill="1" applyBorder="1" applyAlignment="1">
      <alignment horizontal="left" indent="2"/>
    </xf>
    <xf numFmtId="39" fontId="5" fillId="0" borderId="0" xfId="0" applyNumberFormat="1" applyFont="1" applyFill="1" applyBorder="1" applyAlignment="1">
      <alignment horizontal="center" vertical="top" wrapText="1"/>
    </xf>
    <xf numFmtId="176" fontId="5" fillId="0" borderId="0" xfId="0" applyNumberFormat="1" applyFont="1" applyFill="1" applyBorder="1" applyAlignment="1">
      <alignment horizontal="center" vertical="top" wrapText="1"/>
    </xf>
    <xf numFmtId="179" fontId="0" fillId="0" borderId="0" xfId="0" applyNumberFormat="1" applyFont="1" applyFill="1" applyBorder="1"/>
    <xf numFmtId="4" fontId="0" fillId="0" borderId="0" xfId="0" applyNumberFormat="1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2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6" formatCode="0.00_);[Red]\(0.00\)"/>
    </dxf>
    <dxf>
      <numFmt numFmtId="176" formatCode="0.00_);[Red]\(0.00\)"/>
    </dxf>
    <dxf>
      <numFmt numFmtId="39" formatCode="#,##0.00_);\(#,##0.00\)"/>
    </dxf>
    <dxf>
      <numFmt numFmtId="39" formatCode="#,##0.00_);\(#,##0.00\)"/>
    </dxf>
    <dxf>
      <numFmt numFmtId="176" formatCode="0.00_);[Red]\(0.00\)"/>
    </dxf>
    <dxf>
      <numFmt numFmtId="176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3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5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10">
      <tableStyleElement type="wholeTable" dxfId="128"/>
      <tableStyleElement type="headerRow" dxfId="127"/>
      <tableStyleElement type="totalRow" dxfId="126"/>
      <tableStyleElement type="lastColumn" dxfId="125"/>
      <tableStyleElement type="firstSubtotalColumn" dxfId="124"/>
      <tableStyleElement type="secondSubtotalColumn" dxfId="123"/>
      <tableStyleElement type="thirdSubtotalColumn" dxfId="122"/>
      <tableStyleElement type="firstSubtotalRow" dxfId="121"/>
      <tableStyleElement type="secondSubtotalRow" dxfId="120"/>
      <tableStyleElement type="thirdSubtotalRow" dxfId="1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537.4327314815" refreshedBy="pdeng3" recordCount="23">
  <cacheSource type="worksheet">
    <worksheetSource name="Table1"/>
  </cacheSource>
  <cacheFields count="18">
    <cacheField name="TxType" numFmtId="0">
      <sharedItems containsBlank="1" count="5">
        <s v="1-Sales"/>
        <s v="2-Sales Return"/>
        <s v="3-Credit Note"/>
        <s v="5-POS Sales &amp; Return"/>
        <m/>
      </sharedItems>
    </cacheField>
    <cacheField name="Branch" numFmtId="0">
      <sharedItems containsBlank="1" count="5">
        <s v="FACTORY - SEEDUWA"/>
        <s v="SHOWROOM - NAWALA"/>
        <s v="SHOWROOM - CRESCAT"/>
        <s v="SHOWROOM - SEEDUWA"/>
        <m/>
      </sharedItems>
    </cacheField>
    <cacheField name="Tx ID" numFmtId="0">
      <sharedItems containsBlank="1" count="23">
        <s v="CSL-TAX-03778"/>
        <s v="CSL-TAX-03779"/>
        <s v="CSL-TAX-03784"/>
        <s v="CSL-TAX-03785"/>
        <s v="CSL-TAX-03786"/>
        <s v="CSL-SR-00397"/>
        <s v="CSL-SR-00398"/>
        <s v="CSL-SR-00399"/>
        <s v="CRN/PSRN/000063"/>
        <s v="CSL-SR01-2355"/>
        <s v="CSL-SR01-2356"/>
        <s v="CSL-SR01-2357"/>
        <s v="CSL-SR02-1081"/>
        <s v="CSL-SR02-1082"/>
        <s v="CSL-SR02-1083"/>
        <s v="CSL-SR02-1084"/>
        <s v="CSL-SR03-0545"/>
        <s v="CSL-SR03-0546"/>
        <s v="CSL-SR03-0548"/>
        <s v="CSL-SR03-0549"/>
        <s v="CSL-SR03-0550"/>
        <s v="PSRN/000063"/>
        <m/>
      </sharedItems>
    </cacheField>
    <cacheField name="TxDate" numFmtId="0">
      <sharedItems containsString="0" containsBlank="1" containsNonDate="0" containsDate="1" minDate="2019-02-09T00:00:00" maxDate="2019-02-09T00:00:00" count="2">
        <d v="2019-02-09T00:00:00"/>
        <m/>
      </sharedItems>
    </cacheField>
    <cacheField name="SalesRep" numFmtId="0">
      <sharedItems containsBlank="1" count="5">
        <s v="PREMALI WIJETHUNGA"/>
        <s v="SAGARA"/>
        <s v="-"/>
        <s v="MALITH"/>
        <m/>
      </sharedItems>
    </cacheField>
    <cacheField name="Customer" numFmtId="0">
      <sharedItems containsBlank="1" count="11">
        <s v="IC COLLECTION (PVT) LTD"/>
        <s v="SISURU BOWA CENTRE (PVT) LTD"/>
        <s v="STAFF SALE-AMALI RANASINGHE EPF 675"/>
        <s v="STAFF SALE - MS L G H P CHETHANI - EMP 663"/>
        <s v="RICHARD PIERIS DISTRIBUTORS LTD"/>
        <s v="MR. HUSNY MOHAMED"/>
        <s v="CASH  NAWALA"/>
        <s v="MRS.A.GUNASEKARA"/>
        <s v="CASH  CRESCAT"/>
        <s v="CASH  SEEDUWA"/>
        <m/>
      </sharedItems>
    </cacheField>
    <cacheField name="CustomerClass" numFmtId="0">
      <sharedItems containsBlank="1" count="3">
        <s v="LOCAL"/>
        <s v="-"/>
        <m/>
      </sharedItems>
    </cacheField>
    <cacheField name="CustomerType" numFmtId="0">
      <sharedItems containsBlank="1" count="6">
        <s v="GENERAL TRADE"/>
        <s v="STAFF SALE"/>
        <s v="ARPICO"/>
        <s v="-"/>
        <s v="OTHER"/>
        <m/>
      </sharedItems>
    </cacheField>
    <cacheField name="CustomerCategory" numFmtId="0">
      <sharedItems containsBlank="1" count="7">
        <s v="SHOWROOMS"/>
        <s v="SOUTH"/>
        <s v="STAFF SALE"/>
        <s v="DEALER NETWORK"/>
        <s v="-"/>
        <s v="OTHER"/>
        <m/>
      </sharedItems>
    </cacheField>
    <cacheField name="TotalQty" numFmtId="0">
      <sharedItems containsString="0" containsBlank="1" containsNumber="1" containsInteger="1" minValue="-2" maxValue="125" count="14">
        <n v="54"/>
        <n v="125"/>
        <n v="8"/>
        <n v="3"/>
        <n v="1"/>
        <n v="-2"/>
        <n v="-1"/>
        <n v="0"/>
        <n v="2"/>
        <n v="9"/>
        <n v="5"/>
        <n v="10"/>
        <n v="6"/>
        <m/>
      </sharedItems>
    </cacheField>
    <cacheField name="ItemAmount" numFmtId="0">
      <sharedItems containsString="0" containsBlank="1" containsNumber="1" minValue="-3248.73" maxValue="63593.75" count="22">
        <n v="17665.62"/>
        <n v="63593.75"/>
        <n v="3760.2"/>
        <n v="3653.33"/>
        <n v="2479.85"/>
        <n v="-607.6"/>
        <n v="-3248.73"/>
        <n v="2610"/>
        <n v="2922.97990557837"/>
        <n v="1227.14025190462"/>
        <n v="10226.1687658719"/>
        <n v="737.136331873264"/>
        <n v="8896.76682630852"/>
        <n v="18390.0601639596"/>
        <n v="8521.80730489322"/>
        <n v="2130.45182622331"/>
        <n v="4729.60305421574"/>
        <n v="4422.81799123958"/>
        <n v="852.180730489322"/>
        <n v="340.872292195729"/>
        <n v="-2224.19170657713"/>
        <m/>
      </sharedItems>
    </cacheField>
    <cacheField name="Discount" numFmtId="0">
      <sharedItems containsString="0" containsBlank="1" containsNumber="1" minValue="0" maxValue="34.0872292195729" count="3">
        <n v="0"/>
        <n v="34.0872292195729"/>
        <m/>
      </sharedItems>
    </cacheField>
    <cacheField name="SubTotal" numFmtId="0">
      <sharedItems containsString="0" containsBlank="1" containsNumber="1" minValue="-3248.73" maxValue="63593.75" count="22">
        <n v="17665.62"/>
        <n v="63593.75"/>
        <n v="3760.2"/>
        <n v="3653.33"/>
        <n v="2479.85"/>
        <n v="-607.6"/>
        <n v="-3248.73"/>
        <n v="2610"/>
        <n v="2922.97990557837"/>
        <n v="1227.14025190462"/>
        <n v="10226.1687658719"/>
        <n v="737.136331873264"/>
        <n v="8896.76682630852"/>
        <n v="18390.0601639596"/>
        <n v="8521.80730489322"/>
        <n v="2130.45182622331"/>
        <n v="4729.60305421574"/>
        <n v="4422.81799123958"/>
        <n v="852.180730489322"/>
        <n v="306.785062976156"/>
        <n v="-2224.19170657713"/>
        <m/>
      </sharedItems>
    </cacheField>
    <cacheField name="NBTAmount" numFmtId="0">
      <sharedItems containsString="0" containsBlank="1" containsNumber="1" minValue="-66.27" maxValue="1297.31" count="22">
        <n v="360.38"/>
        <n v="1297.31"/>
        <n v="76.71"/>
        <n v="74.53"/>
        <n v="50.59"/>
        <n v="-12.4"/>
        <n v="-66.27"/>
        <n v="0"/>
        <n v="59.6287900737988"/>
        <n v="25.0336611388543"/>
        <n v="208.613842823786"/>
        <n v="15.0375811702146"/>
        <n v="181.494043256694"/>
        <n v="375.157227344775"/>
        <n v="173.844869019822"/>
        <n v="43.4612172549554"/>
        <n v="96.483902306001"/>
        <n v="90.2254870212875"/>
        <n v="17.3844869019822"/>
        <n v="6.25841528471358"/>
        <n v="-45.3735108141735"/>
        <m/>
      </sharedItems>
    </cacheField>
    <cacheField name="VATAmount" numFmtId="0">
      <sharedItems containsString="0" containsBlank="1" containsNumber="1" minValue="-497.25" maxValue="9733.66" count="22">
        <n v="2703.9"/>
        <n v="9733.66"/>
        <n v="575.54"/>
        <n v="559.19"/>
        <n v="379.57"/>
        <n v="-93"/>
        <n v="-497.25"/>
        <n v="0"/>
        <n v="447.391304347826"/>
        <n v="187.826086956522"/>
        <n v="1565.21739130435"/>
        <n v="112.826086956522"/>
        <n v="1361.73913043478"/>
        <n v="2814.78260869565"/>
        <n v="1304.34782608696"/>
        <n v="326.086956521739"/>
        <n v="723.913043478261"/>
        <n v="676.95652173913"/>
        <n v="130.434782608696"/>
        <n v="46.9565217391304"/>
        <n v="-340.434782608696"/>
        <m/>
      </sharedItems>
    </cacheField>
    <cacheField name="GrandTotal" numFmtId="0">
      <sharedItems containsString="0" containsBlank="1" containsNumber="1" minValue="-3812.25" maxValue="74624.72" count="22">
        <n v="20729.9"/>
        <n v="74624.72"/>
        <n v="4412.45"/>
        <n v="4287.04"/>
        <n v="2910.01"/>
        <n v="-713"/>
        <n v="-3812.25"/>
        <n v="2610"/>
        <n v="3430"/>
        <n v="1440"/>
        <n v="12000"/>
        <n v="865"/>
        <n v="10440"/>
        <n v="21580"/>
        <n v="10000"/>
        <n v="2500"/>
        <n v="5550"/>
        <n v="5190"/>
        <n v="1000"/>
        <n v="360"/>
        <n v="-2610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0"/>
    <x v="1"/>
    <x v="1"/>
    <x v="0"/>
    <x v="0"/>
    <x v="1"/>
    <x v="1"/>
    <x v="1"/>
    <x v="0"/>
    <x v="1"/>
    <x v="1"/>
    <x v="1"/>
    <x v="1"/>
    <x v="0"/>
  </r>
  <r>
    <x v="0"/>
    <x v="0"/>
    <x v="2"/>
    <x v="0"/>
    <x v="2"/>
    <x v="2"/>
    <x v="0"/>
    <x v="1"/>
    <x v="2"/>
    <x v="2"/>
    <x v="2"/>
    <x v="0"/>
    <x v="2"/>
    <x v="2"/>
    <x v="2"/>
    <x v="2"/>
    <x v="0"/>
  </r>
  <r>
    <x v="0"/>
    <x v="0"/>
    <x v="3"/>
    <x v="0"/>
    <x v="2"/>
    <x v="3"/>
    <x v="0"/>
    <x v="1"/>
    <x v="2"/>
    <x v="3"/>
    <x v="3"/>
    <x v="0"/>
    <x v="3"/>
    <x v="3"/>
    <x v="3"/>
    <x v="3"/>
    <x v="0"/>
  </r>
  <r>
    <x v="0"/>
    <x v="0"/>
    <x v="4"/>
    <x v="0"/>
    <x v="2"/>
    <x v="2"/>
    <x v="0"/>
    <x v="1"/>
    <x v="2"/>
    <x v="4"/>
    <x v="4"/>
    <x v="0"/>
    <x v="4"/>
    <x v="4"/>
    <x v="4"/>
    <x v="4"/>
    <x v="0"/>
  </r>
  <r>
    <x v="1"/>
    <x v="0"/>
    <x v="5"/>
    <x v="0"/>
    <x v="3"/>
    <x v="4"/>
    <x v="0"/>
    <x v="2"/>
    <x v="3"/>
    <x v="5"/>
    <x v="5"/>
    <x v="0"/>
    <x v="5"/>
    <x v="5"/>
    <x v="5"/>
    <x v="5"/>
    <x v="0"/>
  </r>
  <r>
    <x v="1"/>
    <x v="0"/>
    <x v="6"/>
    <x v="0"/>
    <x v="3"/>
    <x v="4"/>
    <x v="0"/>
    <x v="2"/>
    <x v="3"/>
    <x v="5"/>
    <x v="5"/>
    <x v="0"/>
    <x v="5"/>
    <x v="5"/>
    <x v="5"/>
    <x v="5"/>
    <x v="0"/>
  </r>
  <r>
    <x v="1"/>
    <x v="0"/>
    <x v="7"/>
    <x v="0"/>
    <x v="3"/>
    <x v="4"/>
    <x v="0"/>
    <x v="2"/>
    <x v="3"/>
    <x v="6"/>
    <x v="6"/>
    <x v="0"/>
    <x v="6"/>
    <x v="6"/>
    <x v="6"/>
    <x v="6"/>
    <x v="0"/>
  </r>
  <r>
    <x v="2"/>
    <x v="1"/>
    <x v="8"/>
    <x v="0"/>
    <x v="2"/>
    <x v="5"/>
    <x v="0"/>
    <x v="3"/>
    <x v="4"/>
    <x v="7"/>
    <x v="7"/>
    <x v="0"/>
    <x v="7"/>
    <x v="7"/>
    <x v="7"/>
    <x v="7"/>
    <x v="0"/>
  </r>
  <r>
    <x v="3"/>
    <x v="1"/>
    <x v="9"/>
    <x v="0"/>
    <x v="2"/>
    <x v="6"/>
    <x v="0"/>
    <x v="4"/>
    <x v="5"/>
    <x v="4"/>
    <x v="8"/>
    <x v="0"/>
    <x v="8"/>
    <x v="8"/>
    <x v="8"/>
    <x v="8"/>
    <x v="0"/>
  </r>
  <r>
    <x v="3"/>
    <x v="1"/>
    <x v="10"/>
    <x v="0"/>
    <x v="2"/>
    <x v="6"/>
    <x v="0"/>
    <x v="4"/>
    <x v="5"/>
    <x v="8"/>
    <x v="9"/>
    <x v="0"/>
    <x v="9"/>
    <x v="9"/>
    <x v="9"/>
    <x v="9"/>
    <x v="0"/>
  </r>
  <r>
    <x v="3"/>
    <x v="1"/>
    <x v="11"/>
    <x v="0"/>
    <x v="2"/>
    <x v="7"/>
    <x v="0"/>
    <x v="3"/>
    <x v="4"/>
    <x v="9"/>
    <x v="10"/>
    <x v="0"/>
    <x v="10"/>
    <x v="10"/>
    <x v="10"/>
    <x v="10"/>
    <x v="0"/>
  </r>
  <r>
    <x v="3"/>
    <x v="2"/>
    <x v="12"/>
    <x v="0"/>
    <x v="2"/>
    <x v="8"/>
    <x v="0"/>
    <x v="4"/>
    <x v="5"/>
    <x v="4"/>
    <x v="11"/>
    <x v="0"/>
    <x v="11"/>
    <x v="11"/>
    <x v="11"/>
    <x v="11"/>
    <x v="0"/>
  </r>
  <r>
    <x v="3"/>
    <x v="2"/>
    <x v="13"/>
    <x v="0"/>
    <x v="2"/>
    <x v="8"/>
    <x v="0"/>
    <x v="4"/>
    <x v="5"/>
    <x v="10"/>
    <x v="12"/>
    <x v="0"/>
    <x v="12"/>
    <x v="12"/>
    <x v="12"/>
    <x v="12"/>
    <x v="0"/>
  </r>
  <r>
    <x v="3"/>
    <x v="2"/>
    <x v="14"/>
    <x v="0"/>
    <x v="2"/>
    <x v="8"/>
    <x v="0"/>
    <x v="4"/>
    <x v="5"/>
    <x v="11"/>
    <x v="13"/>
    <x v="0"/>
    <x v="13"/>
    <x v="13"/>
    <x v="13"/>
    <x v="13"/>
    <x v="0"/>
  </r>
  <r>
    <x v="3"/>
    <x v="2"/>
    <x v="15"/>
    <x v="0"/>
    <x v="2"/>
    <x v="8"/>
    <x v="0"/>
    <x v="4"/>
    <x v="5"/>
    <x v="3"/>
    <x v="14"/>
    <x v="0"/>
    <x v="14"/>
    <x v="14"/>
    <x v="14"/>
    <x v="14"/>
    <x v="0"/>
  </r>
  <r>
    <x v="3"/>
    <x v="3"/>
    <x v="16"/>
    <x v="0"/>
    <x v="2"/>
    <x v="9"/>
    <x v="0"/>
    <x v="4"/>
    <x v="5"/>
    <x v="10"/>
    <x v="15"/>
    <x v="0"/>
    <x v="15"/>
    <x v="15"/>
    <x v="15"/>
    <x v="15"/>
    <x v="0"/>
  </r>
  <r>
    <x v="3"/>
    <x v="3"/>
    <x v="17"/>
    <x v="0"/>
    <x v="2"/>
    <x v="9"/>
    <x v="0"/>
    <x v="4"/>
    <x v="5"/>
    <x v="12"/>
    <x v="16"/>
    <x v="0"/>
    <x v="16"/>
    <x v="16"/>
    <x v="16"/>
    <x v="16"/>
    <x v="0"/>
  </r>
  <r>
    <x v="3"/>
    <x v="3"/>
    <x v="18"/>
    <x v="0"/>
    <x v="2"/>
    <x v="9"/>
    <x v="0"/>
    <x v="4"/>
    <x v="5"/>
    <x v="4"/>
    <x v="17"/>
    <x v="0"/>
    <x v="17"/>
    <x v="17"/>
    <x v="17"/>
    <x v="17"/>
    <x v="0"/>
  </r>
  <r>
    <x v="3"/>
    <x v="3"/>
    <x v="19"/>
    <x v="0"/>
    <x v="2"/>
    <x v="9"/>
    <x v="1"/>
    <x v="4"/>
    <x v="5"/>
    <x v="4"/>
    <x v="18"/>
    <x v="0"/>
    <x v="18"/>
    <x v="18"/>
    <x v="18"/>
    <x v="18"/>
    <x v="0"/>
  </r>
  <r>
    <x v="3"/>
    <x v="3"/>
    <x v="20"/>
    <x v="0"/>
    <x v="2"/>
    <x v="9"/>
    <x v="1"/>
    <x v="4"/>
    <x v="5"/>
    <x v="4"/>
    <x v="19"/>
    <x v="1"/>
    <x v="19"/>
    <x v="19"/>
    <x v="19"/>
    <x v="19"/>
    <x v="0"/>
  </r>
  <r>
    <x v="3"/>
    <x v="1"/>
    <x v="21"/>
    <x v="0"/>
    <x v="2"/>
    <x v="5"/>
    <x v="0"/>
    <x v="3"/>
    <x v="4"/>
    <x v="6"/>
    <x v="20"/>
    <x v="0"/>
    <x v="20"/>
    <x v="20"/>
    <x v="20"/>
    <x v="20"/>
    <x v="0"/>
  </r>
  <r>
    <x v="4"/>
    <x v="4"/>
    <x v="22"/>
    <x v="1"/>
    <x v="4"/>
    <x v="10"/>
    <x v="2"/>
    <x v="5"/>
    <x v="6"/>
    <x v="13"/>
    <x v="21"/>
    <x v="2"/>
    <x v="21"/>
    <x v="21"/>
    <x v="21"/>
    <x v="2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O41" firstHeaderRow="0" firstDataRow="1" firstDataCol="6"/>
  <pivotFields count="18">
    <pivotField axis="axisRow" sortType="ascending" multipleItemSelectionAllowed="1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axis="axisRow" name="INVOICE / CR NOTE NO" compact="0" defaultSubtotal="0" outline="0" subtotalTop="0" showAll="0">
      <items count="23"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name="DATE" compact="0" defaultSubtotal="0" outline="0" subtotalTop="0" showAll="0">
      <items count="2">
        <item x="1"/>
        <item x="0"/>
      </items>
    </pivotField>
    <pivotField axis="axisRow" name="SALES REP" compact="0" defaultSubtotal="0" outline="0" subtotalTop="0" showAll="0">
      <items count="5">
        <item x="3"/>
        <item x="1"/>
        <item x="4"/>
        <item x="0"/>
        <item x="2"/>
      </items>
    </pivotField>
    <pivotField axis="axisRow" name="CUSTOMER NAME" compact="0" defaultSubtotal="0" outline="0" subtotalTop="0" showAll="0">
      <items count="11">
        <item x="8"/>
        <item x="4"/>
        <item x="1"/>
        <item x="10"/>
        <item x="0"/>
        <item x="2"/>
        <item x="3"/>
        <item x="5"/>
        <item x="6"/>
        <item x="7"/>
        <item x="9"/>
      </items>
    </pivotField>
    <pivotField compact="0" outline="0" subtotalTop="0" showAll="0"/>
    <pivotField axis="axisRow" name="CUS TYPE" compact="0" defaultSubtotal="0" outline="0" subtotalTop="0" showAll="0">
      <items count="6">
        <item x="2"/>
        <item x="0"/>
        <item x="4"/>
        <item x="1"/>
        <item x="5"/>
        <item x="3"/>
      </items>
    </pivotField>
    <pivotField axis="axisRow" name="CUS CATEGORY" compact="0" defaultSubtotal="0" outline="0" subtotalTop="0" showAll="0">
      <items count="7">
        <item x="3"/>
        <item x="5"/>
        <item x="0"/>
        <item x="1"/>
        <item x="2"/>
        <item x="6"/>
        <item x="4"/>
      </items>
    </pivotField>
    <pivotField dataField="1" compact="0" outline="0" showAll="0">
      <items count="15">
        <item x="8"/>
        <item x="13"/>
        <item x="4"/>
        <item x="9"/>
        <item x="5"/>
        <item x="6"/>
        <item x="7"/>
        <item x="12"/>
        <item x="3"/>
        <item x="10"/>
        <item x="0"/>
        <item x="1"/>
        <item x="2"/>
        <item x="11"/>
        <item t="default"/>
      </items>
    </pivotField>
    <pivotField dataField="1" compact="0" outline="0" subtotalTop="0" showAll="0">
      <items count="23">
        <item x="6"/>
        <item x="20"/>
        <item x="5"/>
        <item x="19"/>
        <item x="11"/>
        <item x="18"/>
        <item x="9"/>
        <item x="15"/>
        <item x="4"/>
        <item x="7"/>
        <item x="8"/>
        <item x="3"/>
        <item x="2"/>
        <item x="17"/>
        <item x="16"/>
        <item x="14"/>
        <item x="12"/>
        <item x="10"/>
        <item x="0"/>
        <item x="13"/>
        <item x="1"/>
        <item x="21"/>
        <item t="default"/>
      </items>
    </pivotField>
    <pivotField dataField="1" compact="0" outline="0" showAll="0">
      <items count="4">
        <item x="0"/>
        <item x="2"/>
        <item x="1"/>
        <item t="default"/>
      </items>
    </pivotField>
    <pivotField dataField="1" compact="0" outline="0" showAll="0">
      <items count="23">
        <item x="21"/>
        <item x="4"/>
        <item x="5"/>
        <item x="6"/>
        <item x="7"/>
        <item x="8"/>
        <item x="9"/>
        <item x="10"/>
        <item x="19"/>
        <item x="11"/>
        <item x="17"/>
        <item x="15"/>
        <item x="18"/>
        <item x="20"/>
        <item x="0"/>
        <item x="1"/>
        <item x="2"/>
        <item x="3"/>
        <item x="12"/>
        <item x="13"/>
        <item x="14"/>
        <item x="16"/>
        <item t="default"/>
      </items>
    </pivotField>
    <pivotField dataField="1" compact="0" outline="0" showAll="0">
      <items count="23">
        <item x="21"/>
        <item x="7"/>
        <item x="4"/>
        <item x="5"/>
        <item x="6"/>
        <item x="9"/>
        <item x="10"/>
        <item x="19"/>
        <item x="11"/>
        <item x="17"/>
        <item x="15"/>
        <item x="18"/>
        <item x="20"/>
        <item x="8"/>
        <item x="0"/>
        <item x="1"/>
        <item x="2"/>
        <item x="3"/>
        <item x="12"/>
        <item x="13"/>
        <item x="14"/>
        <item x="16"/>
        <item t="default"/>
      </items>
    </pivotField>
    <pivotField dataField="1" compact="0" outline="0" showAll="0">
      <items count="23">
        <item x="21"/>
        <item x="4"/>
        <item x="5"/>
        <item x="6"/>
        <item x="7"/>
        <item x="8"/>
        <item x="9"/>
        <item x="10"/>
        <item x="19"/>
        <item x="11"/>
        <item x="17"/>
        <item x="15"/>
        <item x="18"/>
        <item x="20"/>
        <item x="0"/>
        <item x="1"/>
        <item x="2"/>
        <item x="3"/>
        <item x="12"/>
        <item x="13"/>
        <item x="14"/>
        <item x="16"/>
        <item t="default"/>
      </items>
    </pivotField>
    <pivotField dataField="1" compact="0" outline="0" subtotalTop="0" showAll="0">
      <items count="23">
        <item x="21"/>
        <item x="4"/>
        <item x="5"/>
        <item x="6"/>
        <item x="7"/>
        <item x="8"/>
        <item x="9"/>
        <item x="10"/>
        <item x="19"/>
        <item x="11"/>
        <item x="17"/>
        <item x="15"/>
        <item x="18"/>
        <item x="20"/>
        <item x="0"/>
        <item x="1"/>
        <item x="2"/>
        <item x="3"/>
        <item x="12"/>
        <item x="13"/>
        <item x="14"/>
        <item x="16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8">
    <field x="0"/>
    <field x="1"/>
    <field x="3"/>
    <field x="4"/>
    <field x="2"/>
    <field x="5"/>
    <field x="7"/>
    <field x="8"/>
  </rowFields>
  <rowItems count="33">
    <i>
      <x/>
    </i>
    <i r="1">
      <x/>
    </i>
    <i r="2">
      <x v="1"/>
      <x v="1"/>
      <x v="2"/>
      <x v="2"/>
      <x v="1"/>
      <x v="3"/>
    </i>
    <i r="3">
      <x v="3"/>
      <x v="1"/>
      <x v="4"/>
      <x v="1"/>
      <x v="2"/>
    </i>
    <i r="3">
      <x v="4"/>
      <x v="3"/>
      <x v="5"/>
      <x v="3"/>
      <x v="4"/>
    </i>
    <i r="4">
      <x v="4"/>
      <x v="6"/>
      <x v="3"/>
      <x v="4"/>
    </i>
    <i r="4">
      <x v="5"/>
      <x v="5"/>
      <x v="3"/>
      <x v="4"/>
    </i>
    <i>
      <x v="1"/>
    </i>
    <i r="1">
      <x/>
    </i>
    <i r="2">
      <x v="1"/>
      <x/>
      <x v="6"/>
      <x v="1"/>
      <x/>
      <x/>
    </i>
    <i r="4">
      <x v="7"/>
      <x v="1"/>
      <x/>
      <x/>
    </i>
    <i r="4">
      <x v="8"/>
      <x v="1"/>
      <x/>
      <x/>
    </i>
    <i>
      <x v="2"/>
    </i>
    <i r="1">
      <x v="2"/>
    </i>
    <i r="2">
      <x v="1"/>
      <x v="4"/>
      <x v="9"/>
      <x v="7"/>
      <x v="5"/>
      <x v="6"/>
    </i>
    <i>
      <x v="3"/>
    </i>
    <i r="1">
      <x v="1"/>
    </i>
    <i r="2">
      <x v="1"/>
      <x v="4"/>
      <x v="13"/>
      <x/>
      <x v="2"/>
      <x v="1"/>
    </i>
    <i r="4">
      <x v="14"/>
      <x/>
      <x v="2"/>
      <x v="1"/>
    </i>
    <i r="4">
      <x v="15"/>
      <x/>
      <x v="2"/>
      <x v="1"/>
    </i>
    <i r="4">
      <x v="16"/>
      <x/>
      <x v="2"/>
      <x v="1"/>
    </i>
    <i r="1">
      <x v="2"/>
    </i>
    <i r="2">
      <x v="1"/>
      <x v="4"/>
      <x v="10"/>
      <x v="8"/>
      <x v="2"/>
      <x v="1"/>
    </i>
    <i r="4">
      <x v="11"/>
      <x v="8"/>
      <x v="2"/>
      <x v="1"/>
    </i>
    <i r="4">
      <x v="12"/>
      <x v="9"/>
      <x v="5"/>
      <x v="6"/>
    </i>
    <i r="4">
      <x v="22"/>
      <x v="7"/>
      <x v="5"/>
      <x v="6"/>
    </i>
    <i r="1">
      <x v="3"/>
    </i>
    <i r="2">
      <x v="1"/>
      <x v="4"/>
      <x v="17"/>
      <x v="10"/>
      <x v="2"/>
      <x v="1"/>
    </i>
    <i r="4">
      <x v="18"/>
      <x v="10"/>
      <x v="2"/>
      <x v="1"/>
    </i>
    <i r="4">
      <x v="19"/>
      <x v="10"/>
      <x v="2"/>
      <x v="1"/>
    </i>
    <i r="4">
      <x v="20"/>
      <x v="10"/>
      <x v="2"/>
      <x v="1"/>
    </i>
    <i r="4">
      <x v="21"/>
      <x v="10"/>
      <x v="2"/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TOTAL QTY (PCS)" fld="9" baseField="0" baseItem="0" numFmtId="39"/>
    <dataField name="INVOICE AMOUNT BEFORE DISCOUNT LKR" fld="10" baseField="0" baseItem="0" numFmtId="39"/>
    <dataField name="ALL DISCOUNT [LINE &amp; OTHER]" fld="11" baseField="0" baseItem="0" numFmtId="39"/>
    <dataField name="NET AMOUNT LKR" fld="12" baseField="0" baseItem="0" numFmtId="39"/>
    <dataField name="AVG PRICE" fld="17" baseField="0" baseItem="0" numFmtId="39"/>
    <dataField name="NBT AMOUNT LKR" fld="13" baseField="0" baseItem="0" numFmtId="39"/>
    <dataField name="VAT AMOUNT LKR" fld="14" baseField="0" baseItem="0" numFmtId="39"/>
    <dataField name="INVOICE AMOUNT LKR" fld="15" baseField="0" baseItem="0" numFmtId="39"/>
    <dataField name="SVAT AMOUNT LKR" fld="16" baseField="0" baseItem="0" numFmtId="39"/>
  </dataFields>
  <formats count="104">
    <format dxfId="0">
      <pivotArea field="0" type="button" dataOnly="0" labelOnly="1" outline="0" fieldPosition="0"/>
    </format>
    <format dxfId="1">
      <pivotArea field="3" type="button" dataOnly="0" labelOnly="1" outline="0" fieldPosition="0"/>
    </format>
    <format dxfId="2">
      <pivotArea field="4" type="button" dataOnly="0" labelOnly="1" outline="0" fieldPosition="0"/>
    </format>
    <format dxfId="3">
      <pivotArea field="2" type="button" dataOnly="0" labelOnly="1" outline="0" fieldPosition="0"/>
    </format>
    <format dxfId="4">
      <pivotArea field="5" type="button" dataOnly="0" labelOnly="1" outline="0" fieldPosition="0"/>
    </format>
    <format dxfId="5">
      <pivotArea field="7" type="button" dataOnly="0" labelOnly="1" outline="0" fieldPosition="0"/>
    </format>
    <format dxfId="6">
      <pivotArea field="8" type="button" dataOnly="0" labelOnly="1" outline="0" fieldPosition="0"/>
    </format>
    <format dxfId="7">
      <pivotArea dataOnly="0" labelOnly="1" fieldPosition="0">
        <references count="1">
          <reference field="4294967294" count="1">
            <x v="0"/>
          </reference>
        </references>
      </pivotArea>
    </format>
    <format dxfId="8">
      <pivotArea dataOnly="0" labelOnly="1" fieldPosition="0">
        <references count="1">
          <reference field="4294967294" count="1">
            <x v="2"/>
          </reference>
        </references>
      </pivotArea>
    </format>
    <format dxfId="9">
      <pivotArea dataOnly="0" labelOnly="1" fieldPosition="0">
        <references count="1">
          <reference field="4294967294" count="1">
            <x v="5"/>
          </reference>
        </references>
      </pivotArea>
    </format>
    <format dxfId="10">
      <pivotArea dataOnly="0" labelOnly="1" fieldPosition="0">
        <references count="1">
          <reference field="4294967294" count="1">
            <x v="6"/>
          </reference>
        </references>
      </pivotArea>
    </format>
    <format dxfId="11">
      <pivotArea dataOnly="0" labelOnly="1" fieldPosition="0">
        <references count="1">
          <reference field="4294967294" count="1">
            <x v="8"/>
          </reference>
        </references>
      </pivotArea>
    </format>
    <format dxfId="12">
      <pivotArea field="0" type="button" dataOnly="0" labelOnly="1" outline="0" fieldPosition="0"/>
    </format>
    <format dxfId="13">
      <pivotArea field="3" type="button" dataOnly="0" labelOnly="1" outline="0" fieldPosition="0"/>
    </format>
    <format dxfId="14">
      <pivotArea field="4" type="button" dataOnly="0" labelOnly="1" outline="0" fieldPosition="0"/>
    </format>
    <format dxfId="15">
      <pivotArea field="2" type="button" dataOnly="0" labelOnly="1" outline="0" fieldPosition="0"/>
    </format>
    <format dxfId="16">
      <pivotArea field="5" type="button" dataOnly="0" labelOnly="1" outline="0" fieldPosition="0"/>
    </format>
    <format dxfId="17">
      <pivotArea field="7" type="button" dataOnly="0" labelOnly="1" outline="0" fieldPosition="0"/>
    </format>
    <format dxfId="18">
      <pivotArea field="8" type="button" dataOnly="0" labelOnly="1" outline="0" fieldPosition="0"/>
    </format>
    <format dxfId="19">
      <pivotArea dataOnly="0" labelOnly="1" fieldPosition="0">
        <references count="1">
          <reference field="4294967294" count="1">
            <x v="0"/>
          </reference>
        </references>
      </pivotArea>
    </format>
    <format dxfId="20">
      <pivotArea dataOnly="0" labelOnly="1" fieldPosition="0">
        <references count="1">
          <reference field="4294967294" count="1">
            <x v="2"/>
          </reference>
        </references>
      </pivotArea>
    </format>
    <format dxfId="21">
      <pivotArea dataOnly="0" labelOnly="1" fieldPosition="0">
        <references count="1">
          <reference field="4294967294" count="1">
            <x v="5"/>
          </reference>
        </references>
      </pivotArea>
    </format>
    <format dxfId="22">
      <pivotArea dataOnly="0" labelOnly="1" fieldPosition="0">
        <references count="1">
          <reference field="4294967294" count="1">
            <x v="6"/>
          </reference>
        </references>
      </pivotArea>
    </format>
    <format dxfId="23">
      <pivotArea dataOnly="0" labelOnly="1" fieldPosition="0">
        <references count="1">
          <reference field="4294967294" count="1">
            <x v="8"/>
          </reference>
        </references>
      </pivotArea>
    </format>
    <format dxfId="24">
      <pivotArea field="0" type="button" dataOnly="0" labelOnly="1" outline="0" fieldPosition="0"/>
    </format>
    <format dxfId="25">
      <pivotArea field="3" type="button" dataOnly="0" labelOnly="1" outline="0" fieldPosition="0"/>
    </format>
    <format dxfId="26">
      <pivotArea field="4" type="button" dataOnly="0" labelOnly="1" outline="0" fieldPosition="0"/>
    </format>
    <format dxfId="27">
      <pivotArea field="2" type="button" dataOnly="0" labelOnly="1" outline="0" fieldPosition="0"/>
    </format>
    <format dxfId="28">
      <pivotArea field="5" type="button" dataOnly="0" labelOnly="1" outline="0" fieldPosition="0"/>
    </format>
    <format dxfId="29">
      <pivotArea field="7" type="button" dataOnly="0" labelOnly="1" outline="0" fieldPosition="0"/>
    </format>
    <format dxfId="30">
      <pivotArea field="8" type="button" dataOnly="0" labelOnly="1" outline="0" fieldPosition="0"/>
    </format>
    <format dxfId="31">
      <pivotArea dataOnly="0" labelOnly="1" fieldPosition="0">
        <references count="1">
          <reference field="4294967294" count="1">
            <x v="0"/>
          </reference>
        </references>
      </pivotArea>
    </format>
    <format dxfId="32">
      <pivotArea dataOnly="0" labelOnly="1" fieldPosition="0">
        <references count="1">
          <reference field="4294967294" count="1">
            <x v="2"/>
          </reference>
        </references>
      </pivotArea>
    </format>
    <format dxfId="33">
      <pivotArea dataOnly="0" labelOnly="1" fieldPosition="0">
        <references count="1">
          <reference field="4294967294" count="1">
            <x v="5"/>
          </reference>
        </references>
      </pivotArea>
    </format>
    <format dxfId="34">
      <pivotArea dataOnly="0" labelOnly="1" fieldPosition="0">
        <references count="1">
          <reference field="4294967294" count="1">
            <x v="6"/>
          </reference>
        </references>
      </pivotArea>
    </format>
    <format dxfId="35">
      <pivotArea dataOnly="0" labelOnly="1" fieldPosition="0">
        <references count="1">
          <reference field="4294967294" count="1">
            <x v="8"/>
          </reference>
        </references>
      </pivotArea>
    </format>
    <format dxfId="36">
      <pivotArea dataOnly="0" labelOnly="1" grandRow="1" offset="A1:F1" fieldPosition="0"/>
    </format>
    <format dxfId="37">
      <pivotArea field="0" type="button" dataOnly="0" labelOnly="1" outline="0" fieldPosition="0"/>
    </format>
    <format dxfId="38">
      <pivotArea field="3" type="button" dataOnly="0" labelOnly="1" outline="0" fieldPosition="0"/>
    </format>
    <format dxfId="39">
      <pivotArea field="4" type="button" dataOnly="0" labelOnly="1" outline="0" fieldPosition="0"/>
    </format>
    <format dxfId="40">
      <pivotArea field="2" type="button" dataOnly="0" labelOnly="1" outline="0" fieldPosition="0"/>
    </format>
    <format dxfId="41">
      <pivotArea field="5" type="button" dataOnly="0" labelOnly="1" outline="0" fieldPosition="0"/>
    </format>
    <format dxfId="42">
      <pivotArea field="7" type="button" dataOnly="0" labelOnly="1" outline="0" fieldPosition="0"/>
    </format>
    <format dxfId="43">
      <pivotArea field="8" type="button" dataOnly="0" labelOnly="1" outline="0" fieldPosition="0"/>
    </format>
    <format dxfId="44">
      <pivotArea dataOnly="0" labelOnly="1" fieldPosition="0">
        <references count="1">
          <reference field="4294967294" count="1">
            <x v="0"/>
          </reference>
        </references>
      </pivotArea>
    </format>
    <format dxfId="45">
      <pivotArea dataOnly="0" labelOnly="1" fieldPosition="0">
        <references count="1">
          <reference field="4294967294" count="1">
            <x v="2"/>
          </reference>
        </references>
      </pivotArea>
    </format>
    <format dxfId="46">
      <pivotArea dataOnly="0" labelOnly="1" fieldPosition="0">
        <references count="1">
          <reference field="4294967294" count="1">
            <x v="5"/>
          </reference>
        </references>
      </pivotArea>
    </format>
    <format dxfId="47">
      <pivotArea dataOnly="0" labelOnly="1" fieldPosition="0">
        <references count="1">
          <reference field="4294967294" count="1">
            <x v="6"/>
          </reference>
        </references>
      </pivotArea>
    </format>
    <format dxfId="48">
      <pivotArea dataOnly="0" labelOnly="1" fieldPosition="0">
        <references count="1">
          <reference field="4294967294" count="1">
            <x v="8"/>
          </reference>
        </references>
      </pivotArea>
    </format>
    <format dxfId="49">
      <pivotArea dataOnly="0" labelOnly="1" fieldPosition="0">
        <references count="1">
          <reference field="4294967294" count="1">
            <x v="3"/>
          </reference>
        </references>
      </pivotArea>
    </format>
    <format dxfId="50">
      <pivotArea dataOnly="0" labelOnly="1" fieldPosition="0">
        <references count="1">
          <reference field="4294967294" count="1">
            <x v="7"/>
          </reference>
        </references>
      </pivotArea>
    </format>
    <format dxfId="51">
      <pivotArea dataOnly="0" labelOnly="1" fieldPosition="0">
        <references count="1">
          <reference field="4294967294" count="1">
            <x v="3"/>
          </reference>
        </references>
      </pivotArea>
    </format>
    <format dxfId="5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57">
      <pivotArea dataOnly="0" labelOnly="1" fieldPosition="0">
        <references count="1">
          <reference field="4294967294" count="1">
            <x v="7"/>
          </reference>
        </references>
      </pivotArea>
    </format>
    <format dxfId="58">
      <pivotArea dataOnly="0" labelOnly="1" fieldPosition="0">
        <references count="1">
          <reference field="4294967294" count="1">
            <x v="0"/>
          </reference>
        </references>
      </pivotArea>
    </format>
    <format dxfId="59">
      <pivotArea dataOnly="0" labelOnly="1" fieldPosition="0">
        <references count="1">
          <reference field="4294967294" count="1">
            <x v="2"/>
          </reference>
        </references>
      </pivotArea>
    </format>
    <format dxfId="60">
      <pivotArea dataOnly="0" labelOnly="1" fieldPosition="0">
        <references count="1">
          <reference field="4294967294" count="1">
            <x v="3"/>
          </reference>
        </references>
      </pivotArea>
    </format>
    <format dxfId="61">
      <pivotArea dataOnly="0" labelOnly="1" fieldPosition="0">
        <references count="1">
          <reference field="4294967294" count="1">
            <x v="5"/>
          </reference>
        </references>
      </pivotArea>
    </format>
    <format dxfId="62">
      <pivotArea dataOnly="0" labelOnly="1" fieldPosition="0">
        <references count="1">
          <reference field="4294967294" count="1">
            <x v="6"/>
          </reference>
        </references>
      </pivotArea>
    </format>
    <format dxfId="63">
      <pivotArea dataOnly="0" labelOnly="1" fieldPosition="0">
        <references count="1">
          <reference field="4294967294" count="1">
            <x v="7"/>
          </reference>
        </references>
      </pivotArea>
    </format>
    <format dxfId="64">
      <pivotArea dataOnly="0" labelOnly="1" fieldPosition="0">
        <references count="1">
          <reference field="4294967294" count="1">
            <x v="8"/>
          </reference>
        </references>
      </pivotArea>
    </format>
    <format dxfId="65">
      <pivotArea dataOnly="0" labelOnly="1" fieldPosition="0">
        <references count="1">
          <reference field="4294967294" count="1">
            <x v="0"/>
          </reference>
        </references>
      </pivotArea>
    </format>
    <format dxfId="66">
      <pivotArea dataOnly="0" labelOnly="1" fieldPosition="0">
        <references count="1">
          <reference field="4294967294" count="1">
            <x v="2"/>
          </reference>
        </references>
      </pivotArea>
    </format>
    <format dxfId="67">
      <pivotArea dataOnly="0" labelOnly="1" fieldPosition="0">
        <references count="1">
          <reference field="4294967294" count="1">
            <x v="3"/>
          </reference>
        </references>
      </pivotArea>
    </format>
    <format dxfId="68">
      <pivotArea dataOnly="0" labelOnly="1" fieldPosition="0">
        <references count="1">
          <reference field="4294967294" count="1">
            <x v="5"/>
          </reference>
        </references>
      </pivotArea>
    </format>
    <format dxfId="69">
      <pivotArea dataOnly="0" labelOnly="1" fieldPosition="0">
        <references count="1">
          <reference field="4294967294" count="1">
            <x v="6"/>
          </reference>
        </references>
      </pivotArea>
    </format>
    <format dxfId="70">
      <pivotArea dataOnly="0" labelOnly="1" fieldPosition="0">
        <references count="1">
          <reference field="4294967294" count="1">
            <x v="7"/>
          </reference>
        </references>
      </pivotArea>
    </format>
    <format dxfId="71">
      <pivotArea dataOnly="0" labelOnly="1" fieldPosition="0">
        <references count="1">
          <reference field="4294967294" count="1">
            <x v="8"/>
          </reference>
        </references>
      </pivotArea>
    </format>
    <format dxfId="72">
      <pivotArea dataOnly="0" labelOnly="1" fieldPosition="0">
        <references count="1">
          <reference field="4294967294" count="1">
            <x v="0"/>
          </reference>
        </references>
      </pivotArea>
    </format>
    <format dxfId="73">
      <pivotArea dataOnly="0" labelOnly="1" fieldPosition="0">
        <references count="1">
          <reference field="4294967294" count="1">
            <x v="2"/>
          </reference>
        </references>
      </pivotArea>
    </format>
    <format dxfId="74">
      <pivotArea dataOnly="0" labelOnly="1" fieldPosition="0">
        <references count="1">
          <reference field="4294967294" count="1">
            <x v="3"/>
          </reference>
        </references>
      </pivotArea>
    </format>
    <format dxfId="75">
      <pivotArea dataOnly="0" labelOnly="1" fieldPosition="0">
        <references count="1">
          <reference field="4294967294" count="1">
            <x v="5"/>
          </reference>
        </references>
      </pivotArea>
    </format>
    <format dxfId="76">
      <pivotArea dataOnly="0" labelOnly="1" fieldPosition="0">
        <references count="1">
          <reference field="4294967294" count="1">
            <x v="6"/>
          </reference>
        </references>
      </pivotArea>
    </format>
    <format dxfId="77">
      <pivotArea dataOnly="0" labelOnly="1" fieldPosition="0">
        <references count="1">
          <reference field="4294967294" count="1">
            <x v="7"/>
          </reference>
        </references>
      </pivotArea>
    </format>
    <format dxfId="78">
      <pivotArea dataOnly="0" labelOnly="1" fieldPosition="0">
        <references count="1">
          <reference field="4294967294" count="1">
            <x v="8"/>
          </reference>
        </references>
      </pivotArea>
    </format>
    <format dxfId="79">
      <pivotArea dataOnly="0" labelOnly="1" fieldPosition="0">
        <references count="1">
          <reference field="4294967294" count="1">
            <x v="0"/>
          </reference>
        </references>
      </pivotArea>
    </format>
    <format dxfId="80">
      <pivotArea dataOnly="0" labelOnly="1" fieldPosition="0">
        <references count="1">
          <reference field="4294967294" count="1">
            <x v="2"/>
          </reference>
        </references>
      </pivotArea>
    </format>
    <format dxfId="81">
      <pivotArea dataOnly="0" labelOnly="1" fieldPosition="0">
        <references count="1">
          <reference field="4294967294" count="1">
            <x v="3"/>
          </reference>
        </references>
      </pivotArea>
    </format>
    <format dxfId="82">
      <pivotArea dataOnly="0" labelOnly="1" fieldPosition="0">
        <references count="1">
          <reference field="4294967294" count="1">
            <x v="5"/>
          </reference>
        </references>
      </pivotArea>
    </format>
    <format dxfId="83">
      <pivotArea dataOnly="0" labelOnly="1" fieldPosition="0">
        <references count="1">
          <reference field="4294967294" count="1">
            <x v="6"/>
          </reference>
        </references>
      </pivotArea>
    </format>
    <format dxfId="84">
      <pivotArea dataOnly="0" labelOnly="1" fieldPosition="0">
        <references count="1">
          <reference field="4294967294" count="1">
            <x v="7"/>
          </reference>
        </references>
      </pivotArea>
    </format>
    <format dxfId="85">
      <pivotArea dataOnly="0" labelOnly="1" fieldPosition="0">
        <references count="1">
          <reference field="4294967294" count="1">
            <x v="8"/>
          </reference>
        </references>
      </pivotArea>
    </format>
    <format dxfId="86">
      <pivotArea dataOnly="0" labelOnly="1" fieldPosition="0">
        <references count="1">
          <reference field="4294967294" count="1">
            <x v="0"/>
          </reference>
        </references>
      </pivotArea>
    </format>
    <format dxfId="87">
      <pivotArea dataOnly="0" labelOnly="1" fieldPosition="0">
        <references count="1">
          <reference field="4294967294" count="1">
            <x v="2"/>
          </reference>
        </references>
      </pivotArea>
    </format>
    <format dxfId="88">
      <pivotArea dataOnly="0" labelOnly="1" fieldPosition="0">
        <references count="1">
          <reference field="4294967294" count="1">
            <x v="3"/>
          </reference>
        </references>
      </pivotArea>
    </format>
    <format dxfId="89">
      <pivotArea dataOnly="0" labelOnly="1" fieldPosition="0">
        <references count="1">
          <reference field="4294967294" count="1">
            <x v="5"/>
          </reference>
        </references>
      </pivotArea>
    </format>
    <format dxfId="90">
      <pivotArea dataOnly="0" labelOnly="1" fieldPosition="0">
        <references count="1">
          <reference field="4294967294" count="1">
            <x v="6"/>
          </reference>
        </references>
      </pivotArea>
    </format>
    <format dxfId="91">
      <pivotArea dataOnly="0" labelOnly="1" fieldPosition="0">
        <references count="1">
          <reference field="4294967294" count="1">
            <x v="7"/>
          </reference>
        </references>
      </pivotArea>
    </format>
    <format dxfId="92">
      <pivotArea dataOnly="0" labelOnly="1" fieldPosition="0">
        <references count="1">
          <reference field="4294967294" count="1">
            <x v="8"/>
          </reference>
        </references>
      </pivotArea>
    </format>
    <format dxfId="93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94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95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9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97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98">
      <pivotArea dataOnly="0" labelOnly="1" fieldPosition="0">
        <references count="1">
          <reference field="4294967294" count="1">
            <x v="4"/>
          </reference>
        </references>
      </pivotArea>
    </format>
    <format dxfId="99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00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01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02">
      <pivotArea dataOnly="0" labelOnly="1" fieldPosition="0">
        <references count="1">
          <reference field="4294967294" count="1">
            <x v="1"/>
          </reference>
        </references>
      </pivotArea>
    </format>
    <format dxfId="103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Table Style 1" showRowHeaders="1" showColHeaders="1" showLastColumn="1"/>
  <filters count="6">
    <filter evalOrder="-1" fld="0" id="7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1" id="2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2" id="4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4" id="3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5" id="5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7" id="6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Q1048009">
  <autoFilter ref="A1:Q1048009"/>
  <tableColumns count="17">
    <tableColumn id="1" name="TxType" dataDxfId="104"/>
    <tableColumn id="2" name="Branch" dataDxfId="105"/>
    <tableColumn id="3" name="Tx ID" dataDxfId="106"/>
    <tableColumn id="4" name="TxDate" dataDxfId="107"/>
    <tableColumn id="5" name="SalesRep" dataDxfId="108"/>
    <tableColumn id="6" name="Customer" dataDxfId="109"/>
    <tableColumn id="7" name="CustomerClass"/>
    <tableColumn id="8" name="CustomerType" dataDxfId="110"/>
    <tableColumn id="9" name="CustomerCategory" dataDxfId="111"/>
    <tableColumn id="10" name="TotalQty" dataDxfId="112"/>
    <tableColumn id="11" name="ItemAmount" dataDxfId="113"/>
    <tableColumn id="12" name="Discount" dataDxfId="114"/>
    <tableColumn id="13" name="SubTotal" dataDxfId="115"/>
    <tableColumn id="14" name="NBTAmount" dataDxfId="116"/>
    <tableColumn id="15" name="VATAmount" dataDxfId="117"/>
    <tableColumn id="16" name="GrandTotal" dataDxfId="118"/>
    <tableColumn id="17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E16" sqref="E16"/>
    </sheetView>
  </sheetViews>
  <sheetFormatPr defaultColWidth="9" defaultRowHeight="15"/>
  <cols>
    <col min="1" max="1" width="20.0666666666667" customWidth="1"/>
    <col min="2" max="2" width="23.5904761904762" customWidth="1"/>
    <col min="3" max="3" width="18.0285714285714" customWidth="1"/>
    <col min="4" max="4" width="12.4952380952381" customWidth="1"/>
    <col min="5" max="5" width="21.7809523809524" customWidth="1"/>
    <col min="6" max="6" width="41.5714285714286" customWidth="1"/>
    <col min="7" max="7" width="13.1428571428571" customWidth="1"/>
    <col min="8" max="8" width="16.4380952380952" customWidth="1"/>
    <col min="9" max="9" width="20.0666666666667" customWidth="1"/>
    <col min="10" max="10" width="11.2571428571429" customWidth="1"/>
    <col min="11" max="11" width="12.1714285714286" customWidth="1"/>
    <col min="12" max="12" width="11.3714285714286" customWidth="1"/>
    <col min="13" max="13" width="11.3619047619048" customWidth="1"/>
    <col min="14" max="14" width="14.3809523809524" customWidth="1"/>
    <col min="15" max="15" width="14.2857142857143" customWidth="1"/>
    <col min="16" max="17" width="13.514285714285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s="16">
        <v>43505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17">
        <v>54</v>
      </c>
      <c r="K2" s="17">
        <v>17665.62</v>
      </c>
      <c r="L2" s="17">
        <v>0</v>
      </c>
      <c r="M2" s="17">
        <v>17665.62</v>
      </c>
      <c r="N2" s="17">
        <v>360.38</v>
      </c>
      <c r="O2" s="17">
        <v>2703.9</v>
      </c>
      <c r="P2" s="17">
        <v>20729.9</v>
      </c>
      <c r="Q2" s="17">
        <v>0</v>
      </c>
    </row>
    <row r="3" spans="1:17">
      <c r="A3" t="s">
        <v>17</v>
      </c>
      <c r="B3" t="s">
        <v>18</v>
      </c>
      <c r="C3" t="s">
        <v>25</v>
      </c>
      <c r="D3" s="16">
        <v>43505</v>
      </c>
      <c r="E3" t="s">
        <v>26</v>
      </c>
      <c r="F3" t="s">
        <v>27</v>
      </c>
      <c r="G3" t="s">
        <v>22</v>
      </c>
      <c r="H3" t="s">
        <v>23</v>
      </c>
      <c r="I3" t="s">
        <v>28</v>
      </c>
      <c r="J3" s="17">
        <v>125</v>
      </c>
      <c r="K3" s="17">
        <v>63593.75</v>
      </c>
      <c r="L3" s="17">
        <v>0</v>
      </c>
      <c r="M3" s="17">
        <v>63593.75</v>
      </c>
      <c r="N3" s="17">
        <v>1297.31</v>
      </c>
      <c r="O3" s="17">
        <v>9733.66</v>
      </c>
      <c r="P3" s="17">
        <v>74624.72</v>
      </c>
      <c r="Q3" s="17">
        <v>0</v>
      </c>
    </row>
    <row r="4" spans="1:17">
      <c r="A4" t="s">
        <v>17</v>
      </c>
      <c r="B4" t="s">
        <v>18</v>
      </c>
      <c r="C4" t="s">
        <v>29</v>
      </c>
      <c r="D4" s="16">
        <v>43505</v>
      </c>
      <c r="E4" t="s">
        <v>30</v>
      </c>
      <c r="F4" t="s">
        <v>31</v>
      </c>
      <c r="G4" t="s">
        <v>22</v>
      </c>
      <c r="H4" t="s">
        <v>32</v>
      </c>
      <c r="I4" t="s">
        <v>32</v>
      </c>
      <c r="J4" s="17">
        <v>8</v>
      </c>
      <c r="K4" s="17">
        <v>3760.2</v>
      </c>
      <c r="L4" s="17">
        <v>0</v>
      </c>
      <c r="M4" s="17">
        <v>3760.2</v>
      </c>
      <c r="N4" s="17">
        <v>76.71</v>
      </c>
      <c r="O4" s="17">
        <v>575.54</v>
      </c>
      <c r="P4" s="17">
        <v>4412.45</v>
      </c>
      <c r="Q4" s="17">
        <v>0</v>
      </c>
    </row>
    <row r="5" spans="1:17">
      <c r="A5" t="s">
        <v>17</v>
      </c>
      <c r="B5" t="s">
        <v>18</v>
      </c>
      <c r="C5" t="s">
        <v>33</v>
      </c>
      <c r="D5" s="16">
        <v>43505</v>
      </c>
      <c r="E5" t="s">
        <v>30</v>
      </c>
      <c r="F5" t="s">
        <v>34</v>
      </c>
      <c r="G5" t="s">
        <v>22</v>
      </c>
      <c r="H5" t="s">
        <v>32</v>
      </c>
      <c r="I5" t="s">
        <v>32</v>
      </c>
      <c r="J5" s="17">
        <v>3</v>
      </c>
      <c r="K5" s="17">
        <v>3653.33</v>
      </c>
      <c r="L5" s="17">
        <v>0</v>
      </c>
      <c r="M5" s="17">
        <v>3653.33</v>
      </c>
      <c r="N5" s="17">
        <v>74.53</v>
      </c>
      <c r="O5" s="17">
        <v>559.19</v>
      </c>
      <c r="P5" s="17">
        <v>4287.04</v>
      </c>
      <c r="Q5" s="17">
        <v>0</v>
      </c>
    </row>
    <row r="6" spans="1:17">
      <c r="A6" t="s">
        <v>17</v>
      </c>
      <c r="B6" t="s">
        <v>18</v>
      </c>
      <c r="C6" t="s">
        <v>35</v>
      </c>
      <c r="D6" s="16">
        <v>43505</v>
      </c>
      <c r="E6" t="s">
        <v>30</v>
      </c>
      <c r="F6" t="s">
        <v>31</v>
      </c>
      <c r="G6" t="s">
        <v>22</v>
      </c>
      <c r="H6" t="s">
        <v>32</v>
      </c>
      <c r="I6" t="s">
        <v>32</v>
      </c>
      <c r="J6" s="17">
        <v>1</v>
      </c>
      <c r="K6" s="17">
        <v>2479.85</v>
      </c>
      <c r="L6" s="17">
        <v>0</v>
      </c>
      <c r="M6" s="17">
        <v>2479.85</v>
      </c>
      <c r="N6" s="17">
        <v>50.59</v>
      </c>
      <c r="O6" s="17">
        <v>379.57</v>
      </c>
      <c r="P6" s="17">
        <v>2910.01</v>
      </c>
      <c r="Q6" s="17">
        <v>0</v>
      </c>
    </row>
    <row r="7" spans="1:17">
      <c r="A7" t="s">
        <v>36</v>
      </c>
      <c r="B7" t="s">
        <v>18</v>
      </c>
      <c r="C7" t="s">
        <v>37</v>
      </c>
      <c r="D7" s="16">
        <v>43505</v>
      </c>
      <c r="E7" t="s">
        <v>38</v>
      </c>
      <c r="F7" t="s">
        <v>39</v>
      </c>
      <c r="G7" t="s">
        <v>22</v>
      </c>
      <c r="H7" t="s">
        <v>40</v>
      </c>
      <c r="I7" t="s">
        <v>41</v>
      </c>
      <c r="J7" s="17">
        <v>-2</v>
      </c>
      <c r="K7" s="17">
        <v>-607.6</v>
      </c>
      <c r="L7" s="17">
        <v>0</v>
      </c>
      <c r="M7" s="17">
        <v>-607.6</v>
      </c>
      <c r="N7" s="17">
        <v>-12.4</v>
      </c>
      <c r="O7" s="17">
        <v>-93</v>
      </c>
      <c r="P7" s="17">
        <v>-713</v>
      </c>
      <c r="Q7" s="17">
        <v>0</v>
      </c>
    </row>
    <row r="8" spans="1:17">
      <c r="A8" t="s">
        <v>36</v>
      </c>
      <c r="B8" t="s">
        <v>18</v>
      </c>
      <c r="C8" t="s">
        <v>42</v>
      </c>
      <c r="D8" s="16">
        <v>43505</v>
      </c>
      <c r="E8" t="s">
        <v>38</v>
      </c>
      <c r="F8" t="s">
        <v>39</v>
      </c>
      <c r="G8" t="s">
        <v>22</v>
      </c>
      <c r="H8" t="s">
        <v>40</v>
      </c>
      <c r="I8" t="s">
        <v>41</v>
      </c>
      <c r="J8" s="17">
        <v>-2</v>
      </c>
      <c r="K8" s="17">
        <v>-607.6</v>
      </c>
      <c r="L8" s="17">
        <v>0</v>
      </c>
      <c r="M8" s="17">
        <v>-607.6</v>
      </c>
      <c r="N8" s="17">
        <v>-12.4</v>
      </c>
      <c r="O8" s="17">
        <v>-93</v>
      </c>
      <c r="P8" s="17">
        <v>-713</v>
      </c>
      <c r="Q8" s="17">
        <v>0</v>
      </c>
    </row>
    <row r="9" spans="1:17">
      <c r="A9" t="s">
        <v>36</v>
      </c>
      <c r="B9" t="s">
        <v>18</v>
      </c>
      <c r="C9" t="s">
        <v>43</v>
      </c>
      <c r="D9" s="16">
        <v>43505</v>
      </c>
      <c r="E9" t="s">
        <v>38</v>
      </c>
      <c r="F9" t="s">
        <v>39</v>
      </c>
      <c r="G9" t="s">
        <v>22</v>
      </c>
      <c r="H9" t="s">
        <v>40</v>
      </c>
      <c r="I9" t="s">
        <v>41</v>
      </c>
      <c r="J9" s="17">
        <v>-1</v>
      </c>
      <c r="K9" s="17">
        <v>-3248.73</v>
      </c>
      <c r="L9" s="17">
        <v>0</v>
      </c>
      <c r="M9" s="17">
        <v>-3248.73</v>
      </c>
      <c r="N9" s="17">
        <v>-66.27</v>
      </c>
      <c r="O9" s="17">
        <v>-497.25</v>
      </c>
      <c r="P9" s="17">
        <v>-3812.25</v>
      </c>
      <c r="Q9" s="17">
        <v>0</v>
      </c>
    </row>
    <row r="10" spans="1:17">
      <c r="A10" t="s">
        <v>44</v>
      </c>
      <c r="B10" t="s">
        <v>45</v>
      </c>
      <c r="C10" t="s">
        <v>46</v>
      </c>
      <c r="D10" s="16">
        <v>43505</v>
      </c>
      <c r="E10" t="s">
        <v>30</v>
      </c>
      <c r="F10" t="s">
        <v>47</v>
      </c>
      <c r="G10" t="s">
        <v>22</v>
      </c>
      <c r="H10" t="s">
        <v>30</v>
      </c>
      <c r="I10" t="s">
        <v>30</v>
      </c>
      <c r="J10" s="17">
        <v>0</v>
      </c>
      <c r="K10" s="17">
        <v>2610</v>
      </c>
      <c r="L10" s="17">
        <v>0</v>
      </c>
      <c r="M10" s="17">
        <v>2610</v>
      </c>
      <c r="N10" s="17">
        <v>0</v>
      </c>
      <c r="O10" s="17">
        <v>0</v>
      </c>
      <c r="P10" s="17">
        <v>2610</v>
      </c>
      <c r="Q10" s="17">
        <v>0</v>
      </c>
    </row>
    <row r="11" spans="1:17">
      <c r="A11" t="s">
        <v>48</v>
      </c>
      <c r="B11" t="s">
        <v>45</v>
      </c>
      <c r="C11" t="s">
        <v>49</v>
      </c>
      <c r="D11" s="16">
        <v>43505</v>
      </c>
      <c r="E11" t="s">
        <v>30</v>
      </c>
      <c r="F11" t="s">
        <v>50</v>
      </c>
      <c r="G11" t="s">
        <v>22</v>
      </c>
      <c r="H11" t="s">
        <v>51</v>
      </c>
      <c r="I11" t="s">
        <v>51</v>
      </c>
      <c r="J11" s="17">
        <v>1</v>
      </c>
      <c r="K11" s="17">
        <v>2922.97990557837</v>
      </c>
      <c r="L11" s="17">
        <v>0</v>
      </c>
      <c r="M11" s="17">
        <v>2922.97990557837</v>
      </c>
      <c r="N11" s="17">
        <v>59.6287900737988</v>
      </c>
      <c r="O11" s="17">
        <v>447.391304347826</v>
      </c>
      <c r="P11" s="17">
        <v>3430</v>
      </c>
      <c r="Q11" s="17">
        <v>0</v>
      </c>
    </row>
    <row r="12" spans="1:17">
      <c r="A12" t="s">
        <v>48</v>
      </c>
      <c r="B12" t="s">
        <v>45</v>
      </c>
      <c r="C12" t="s">
        <v>52</v>
      </c>
      <c r="D12" s="16">
        <v>43505</v>
      </c>
      <c r="E12" t="s">
        <v>30</v>
      </c>
      <c r="F12" t="s">
        <v>50</v>
      </c>
      <c r="G12" t="s">
        <v>22</v>
      </c>
      <c r="H12" t="s">
        <v>51</v>
      </c>
      <c r="I12" t="s">
        <v>51</v>
      </c>
      <c r="J12" s="17">
        <v>2</v>
      </c>
      <c r="K12" s="17">
        <v>1227.14025190462</v>
      </c>
      <c r="L12" s="17">
        <v>0</v>
      </c>
      <c r="M12" s="17">
        <v>1227.14025190462</v>
      </c>
      <c r="N12" s="17">
        <v>25.0336611388543</v>
      </c>
      <c r="O12" s="17">
        <v>187.826086956522</v>
      </c>
      <c r="P12" s="17">
        <v>1440</v>
      </c>
      <c r="Q12" s="17">
        <v>0</v>
      </c>
    </row>
    <row r="13" spans="1:17">
      <c r="A13" t="s">
        <v>48</v>
      </c>
      <c r="B13" t="s">
        <v>45</v>
      </c>
      <c r="C13" t="s">
        <v>53</v>
      </c>
      <c r="D13" s="16">
        <v>43505</v>
      </c>
      <c r="E13" t="s">
        <v>30</v>
      </c>
      <c r="F13" t="s">
        <v>54</v>
      </c>
      <c r="G13" t="s">
        <v>22</v>
      </c>
      <c r="H13" t="s">
        <v>30</v>
      </c>
      <c r="I13" t="s">
        <v>30</v>
      </c>
      <c r="J13" s="17">
        <v>9</v>
      </c>
      <c r="K13" s="17">
        <v>10226.1687658719</v>
      </c>
      <c r="L13" s="17">
        <v>0</v>
      </c>
      <c r="M13" s="17">
        <v>10226.1687658719</v>
      </c>
      <c r="N13" s="17">
        <v>208.613842823786</v>
      </c>
      <c r="O13" s="17">
        <v>1565.21739130435</v>
      </c>
      <c r="P13" s="17">
        <v>12000</v>
      </c>
      <c r="Q13" s="17">
        <v>0</v>
      </c>
    </row>
    <row r="14" spans="1:17">
      <c r="A14" t="s">
        <v>48</v>
      </c>
      <c r="B14" t="s">
        <v>55</v>
      </c>
      <c r="C14" t="s">
        <v>56</v>
      </c>
      <c r="D14" s="16">
        <v>43505</v>
      </c>
      <c r="E14" t="s">
        <v>30</v>
      </c>
      <c r="F14" t="s">
        <v>57</v>
      </c>
      <c r="G14" t="s">
        <v>22</v>
      </c>
      <c r="H14" t="s">
        <v>51</v>
      </c>
      <c r="I14" t="s">
        <v>51</v>
      </c>
      <c r="J14" s="17">
        <v>1</v>
      </c>
      <c r="K14" s="17">
        <v>737.136331873264</v>
      </c>
      <c r="L14" s="17">
        <v>0</v>
      </c>
      <c r="M14" s="17">
        <v>737.136331873264</v>
      </c>
      <c r="N14" s="17">
        <v>15.0375811702146</v>
      </c>
      <c r="O14" s="17">
        <v>112.826086956522</v>
      </c>
      <c r="P14" s="17">
        <v>865</v>
      </c>
      <c r="Q14" s="17">
        <v>0</v>
      </c>
    </row>
    <row r="15" spans="1:17">
      <c r="A15" t="s">
        <v>48</v>
      </c>
      <c r="B15" t="s">
        <v>55</v>
      </c>
      <c r="C15" t="s">
        <v>58</v>
      </c>
      <c r="D15" s="16">
        <v>43505</v>
      </c>
      <c r="E15" t="s">
        <v>30</v>
      </c>
      <c r="F15" t="s">
        <v>57</v>
      </c>
      <c r="G15" t="s">
        <v>22</v>
      </c>
      <c r="H15" t="s">
        <v>51</v>
      </c>
      <c r="I15" t="s">
        <v>51</v>
      </c>
      <c r="J15" s="17">
        <v>5</v>
      </c>
      <c r="K15" s="17">
        <v>8896.76682630852</v>
      </c>
      <c r="L15" s="17">
        <v>0</v>
      </c>
      <c r="M15" s="17">
        <v>8896.76682630852</v>
      </c>
      <c r="N15" s="17">
        <v>181.494043256694</v>
      </c>
      <c r="O15" s="17">
        <v>1361.73913043478</v>
      </c>
      <c r="P15" s="17">
        <v>10440</v>
      </c>
      <c r="Q15" s="17">
        <v>0</v>
      </c>
    </row>
    <row r="16" spans="1:17">
      <c r="A16" t="s">
        <v>48</v>
      </c>
      <c r="B16" t="s">
        <v>55</v>
      </c>
      <c r="C16" t="s">
        <v>59</v>
      </c>
      <c r="D16" s="16">
        <v>43505</v>
      </c>
      <c r="E16" t="s">
        <v>30</v>
      </c>
      <c r="F16" t="s">
        <v>57</v>
      </c>
      <c r="G16" t="s">
        <v>22</v>
      </c>
      <c r="H16" t="s">
        <v>51</v>
      </c>
      <c r="I16" t="s">
        <v>51</v>
      </c>
      <c r="J16" s="17">
        <v>10</v>
      </c>
      <c r="K16" s="17">
        <v>18390.0601639596</v>
      </c>
      <c r="L16" s="17">
        <v>0</v>
      </c>
      <c r="M16" s="17">
        <v>18390.0601639596</v>
      </c>
      <c r="N16" s="17">
        <v>375.157227344775</v>
      </c>
      <c r="O16" s="17">
        <v>2814.78260869565</v>
      </c>
      <c r="P16" s="17">
        <v>21580</v>
      </c>
      <c r="Q16" s="17">
        <v>0</v>
      </c>
    </row>
    <row r="17" spans="1:17">
      <c r="A17" t="s">
        <v>48</v>
      </c>
      <c r="B17" t="s">
        <v>55</v>
      </c>
      <c r="C17" t="s">
        <v>60</v>
      </c>
      <c r="D17" s="16">
        <v>43505</v>
      </c>
      <c r="E17" t="s">
        <v>30</v>
      </c>
      <c r="F17" t="s">
        <v>57</v>
      </c>
      <c r="G17" t="s">
        <v>22</v>
      </c>
      <c r="H17" t="s">
        <v>51</v>
      </c>
      <c r="I17" t="s">
        <v>51</v>
      </c>
      <c r="J17" s="17">
        <v>3</v>
      </c>
      <c r="K17" s="17">
        <v>8521.80730489322</v>
      </c>
      <c r="L17" s="17">
        <v>0</v>
      </c>
      <c r="M17" s="17">
        <v>8521.80730489322</v>
      </c>
      <c r="N17" s="17">
        <v>173.844869019822</v>
      </c>
      <c r="O17" s="17">
        <v>1304.34782608696</v>
      </c>
      <c r="P17" s="17">
        <v>10000</v>
      </c>
      <c r="Q17" s="17">
        <v>0</v>
      </c>
    </row>
    <row r="18" spans="1:17">
      <c r="A18" t="s">
        <v>48</v>
      </c>
      <c r="B18" t="s">
        <v>61</v>
      </c>
      <c r="C18" t="s">
        <v>62</v>
      </c>
      <c r="D18" s="16">
        <v>43505</v>
      </c>
      <c r="E18" t="s">
        <v>30</v>
      </c>
      <c r="F18" t="s">
        <v>63</v>
      </c>
      <c r="G18" t="s">
        <v>22</v>
      </c>
      <c r="H18" t="s">
        <v>51</v>
      </c>
      <c r="I18" t="s">
        <v>51</v>
      </c>
      <c r="J18" s="17">
        <v>5</v>
      </c>
      <c r="K18" s="17">
        <v>2130.45182622331</v>
      </c>
      <c r="L18" s="17">
        <v>0</v>
      </c>
      <c r="M18" s="17">
        <v>2130.45182622331</v>
      </c>
      <c r="N18" s="17">
        <v>43.4612172549554</v>
      </c>
      <c r="O18" s="17">
        <v>326.086956521739</v>
      </c>
      <c r="P18" s="17">
        <v>2500</v>
      </c>
      <c r="Q18" s="17">
        <v>0</v>
      </c>
    </row>
    <row r="19" spans="1:17">
      <c r="A19" t="s">
        <v>48</v>
      </c>
      <c r="B19" t="s">
        <v>61</v>
      </c>
      <c r="C19" t="s">
        <v>64</v>
      </c>
      <c r="D19" s="16">
        <v>43505</v>
      </c>
      <c r="E19" t="s">
        <v>30</v>
      </c>
      <c r="F19" t="s">
        <v>63</v>
      </c>
      <c r="G19" t="s">
        <v>22</v>
      </c>
      <c r="H19" t="s">
        <v>51</v>
      </c>
      <c r="I19" t="s">
        <v>51</v>
      </c>
      <c r="J19" s="17">
        <v>6</v>
      </c>
      <c r="K19" s="17">
        <v>4729.60305421574</v>
      </c>
      <c r="L19" s="17">
        <v>0</v>
      </c>
      <c r="M19" s="17">
        <v>4729.60305421574</v>
      </c>
      <c r="N19" s="17">
        <v>96.483902306001</v>
      </c>
      <c r="O19" s="17">
        <v>723.913043478261</v>
      </c>
      <c r="P19" s="17">
        <v>5550</v>
      </c>
      <c r="Q19" s="17">
        <v>0</v>
      </c>
    </row>
    <row r="20" spans="1:17">
      <c r="A20" t="s">
        <v>48</v>
      </c>
      <c r="B20" t="s">
        <v>61</v>
      </c>
      <c r="C20" t="s">
        <v>65</v>
      </c>
      <c r="D20" s="16">
        <v>43505</v>
      </c>
      <c r="E20" t="s">
        <v>30</v>
      </c>
      <c r="F20" t="s">
        <v>63</v>
      </c>
      <c r="G20" t="s">
        <v>22</v>
      </c>
      <c r="H20" t="s">
        <v>51</v>
      </c>
      <c r="I20" t="s">
        <v>51</v>
      </c>
      <c r="J20" s="17">
        <v>1</v>
      </c>
      <c r="K20" s="17">
        <v>4422.81799123958</v>
      </c>
      <c r="L20" s="17">
        <v>0</v>
      </c>
      <c r="M20" s="17">
        <v>4422.81799123958</v>
      </c>
      <c r="N20" s="17">
        <v>90.2254870212875</v>
      </c>
      <c r="O20" s="17">
        <v>676.95652173913</v>
      </c>
      <c r="P20" s="17">
        <v>5190</v>
      </c>
      <c r="Q20" s="17">
        <v>0</v>
      </c>
    </row>
    <row r="21" spans="1:17">
      <c r="A21" t="s">
        <v>48</v>
      </c>
      <c r="B21" t="s">
        <v>61</v>
      </c>
      <c r="C21" t="s">
        <v>66</v>
      </c>
      <c r="D21" s="16">
        <v>43505</v>
      </c>
      <c r="E21" t="s">
        <v>30</v>
      </c>
      <c r="F21" t="s">
        <v>63</v>
      </c>
      <c r="G21" t="s">
        <v>30</v>
      </c>
      <c r="H21" t="s">
        <v>51</v>
      </c>
      <c r="I21" t="s">
        <v>51</v>
      </c>
      <c r="J21" s="17">
        <v>1</v>
      </c>
      <c r="K21" s="17">
        <v>852.180730489322</v>
      </c>
      <c r="L21" s="17">
        <v>0</v>
      </c>
      <c r="M21" s="17">
        <v>852.180730489322</v>
      </c>
      <c r="N21" s="17">
        <v>17.3844869019822</v>
      </c>
      <c r="O21" s="17">
        <v>130.434782608696</v>
      </c>
      <c r="P21" s="17">
        <v>1000</v>
      </c>
      <c r="Q21" s="17">
        <v>0</v>
      </c>
    </row>
    <row r="22" spans="1:17">
      <c r="A22" t="s">
        <v>48</v>
      </c>
      <c r="B22" t="s">
        <v>61</v>
      </c>
      <c r="C22" t="s">
        <v>67</v>
      </c>
      <c r="D22" s="16">
        <v>43505</v>
      </c>
      <c r="E22" t="s">
        <v>30</v>
      </c>
      <c r="F22" t="s">
        <v>63</v>
      </c>
      <c r="G22" t="s">
        <v>30</v>
      </c>
      <c r="H22" t="s">
        <v>51</v>
      </c>
      <c r="I22" t="s">
        <v>51</v>
      </c>
      <c r="J22" s="17">
        <v>1</v>
      </c>
      <c r="K22" s="17">
        <v>340.872292195729</v>
      </c>
      <c r="L22" s="17">
        <v>34.0872292195729</v>
      </c>
      <c r="M22" s="17">
        <v>306.785062976156</v>
      </c>
      <c r="N22" s="17">
        <v>6.25841528471358</v>
      </c>
      <c r="O22" s="17">
        <v>46.9565217391304</v>
      </c>
      <c r="P22" s="17">
        <v>360</v>
      </c>
      <c r="Q22" s="17">
        <v>0</v>
      </c>
    </row>
    <row r="23" spans="1:17">
      <c r="A23" t="s">
        <v>48</v>
      </c>
      <c r="B23" t="s">
        <v>45</v>
      </c>
      <c r="C23" t="s">
        <v>68</v>
      </c>
      <c r="D23" s="16">
        <v>43505</v>
      </c>
      <c r="E23" t="s">
        <v>30</v>
      </c>
      <c r="F23" t="s">
        <v>47</v>
      </c>
      <c r="G23" t="s">
        <v>22</v>
      </c>
      <c r="H23" t="s">
        <v>30</v>
      </c>
      <c r="I23" t="s">
        <v>30</v>
      </c>
      <c r="J23" s="17">
        <v>-1</v>
      </c>
      <c r="K23" s="17">
        <v>-2224.19170657713</v>
      </c>
      <c r="L23" s="17">
        <v>0</v>
      </c>
      <c r="M23" s="17">
        <v>-2224.19170657713</v>
      </c>
      <c r="N23" s="17">
        <v>-45.3735108141735</v>
      </c>
      <c r="O23" s="17">
        <v>-340.434782608696</v>
      </c>
      <c r="P23" s="17">
        <v>-2610</v>
      </c>
      <c r="Q23" s="17">
        <v>0</v>
      </c>
    </row>
  </sheetData>
  <pageMargins left="0.75" right="0.75" top="1" bottom="1" header="0.511805555555556" footer="0.511805555555556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8"/>
  <sheetViews>
    <sheetView tabSelected="1" topLeftCell="A4" workbookViewId="0">
      <selection activeCell="D16" sqref="D16"/>
    </sheetView>
  </sheetViews>
  <sheetFormatPr defaultColWidth="9" defaultRowHeight="15"/>
  <cols>
    <col min="1" max="1" width="29.2380952380952"/>
    <col min="2" max="2" width="24.8095238095238"/>
    <col min="3" max="3" width="22.7142857142857"/>
    <col min="4" max="4" width="45.9523809523809"/>
    <col min="5" max="5" width="18.3809523809524"/>
    <col min="6" max="6" width="18.5714285714286"/>
    <col min="7" max="7" width="16.7142857142857"/>
    <col min="8" max="8" width="41.4285714285714"/>
    <col min="9" max="9" width="30.2857142857143" style="2"/>
    <col min="10" max="10" width="18" style="2"/>
    <col min="11" max="11" width="10.8571428571429" style="2"/>
    <col min="12" max="13" width="18.1428571428571" style="2"/>
    <col min="14" max="14" width="22.5714285714286" style="2"/>
    <col min="15" max="15" width="19.2857142857143" style="2"/>
    <col min="16" max="16" width="18.1428571428571" style="2"/>
    <col min="17" max="17" width="22.5714285714286" style="2"/>
    <col min="18" max="18" width="19.2857142857143" style="2"/>
    <col min="19" max="19" width="19.2857142857143" customWidth="1"/>
  </cols>
  <sheetData>
    <row r="1" ht="23.25" spans="1:5">
      <c r="A1" s="3" t="s">
        <v>69</v>
      </c>
      <c r="B1" s="3" t="s">
        <v>69</v>
      </c>
      <c r="C1" s="3" t="s">
        <v>69</v>
      </c>
      <c r="D1" s="3" t="s">
        <v>69</v>
      </c>
      <c r="E1" s="3" t="s">
        <v>69</v>
      </c>
    </row>
    <row r="2" spans="1:5">
      <c r="A2" s="4" t="s">
        <v>70</v>
      </c>
      <c r="B2" s="4" t="s">
        <v>70</v>
      </c>
      <c r="C2" s="4" t="s">
        <v>70</v>
      </c>
      <c r="D2" s="4" t="s">
        <v>70</v>
      </c>
      <c r="E2" s="4" t="s">
        <v>70</v>
      </c>
    </row>
    <row r="3" spans="1:5">
      <c r="A3" s="4" t="s">
        <v>71</v>
      </c>
      <c r="B3" s="4" t="s">
        <v>71</v>
      </c>
      <c r="C3" s="4" t="s">
        <v>71</v>
      </c>
      <c r="D3" s="4" t="s">
        <v>71</v>
      </c>
      <c r="E3" s="4" t="s">
        <v>71</v>
      </c>
    </row>
    <row r="4" ht="4" customHeight="1"/>
    <row r="5" ht="18.75" spans="1:5">
      <c r="A5" s="5" t="s">
        <v>72</v>
      </c>
      <c r="B5" s="5"/>
      <c r="C5" s="5" t="s">
        <v>72</v>
      </c>
      <c r="D5" s="5" t="s">
        <v>72</v>
      </c>
      <c r="E5" s="5" t="s">
        <v>72</v>
      </c>
    </row>
    <row r="6" spans="1:5">
      <c r="A6" s="6" t="s">
        <v>73</v>
      </c>
      <c r="B6" s="6" t="s">
        <v>73</v>
      </c>
      <c r="C6" s="6" t="s">
        <v>73</v>
      </c>
      <c r="D6" s="6" t="s">
        <v>73</v>
      </c>
      <c r="E6" s="6" t="s">
        <v>73</v>
      </c>
    </row>
    <row r="8" s="1" customFormat="1" ht="48" customHeight="1" spans="1:18">
      <c r="A8" s="7" t="s">
        <v>74</v>
      </c>
      <c r="B8" s="7" t="s">
        <v>75</v>
      </c>
      <c r="C8" s="7" t="s">
        <v>76</v>
      </c>
      <c r="D8" s="7" t="s">
        <v>77</v>
      </c>
      <c r="E8" s="7" t="s">
        <v>78</v>
      </c>
      <c r="F8" s="7" t="s">
        <v>79</v>
      </c>
      <c r="G8" s="8" t="s">
        <v>80</v>
      </c>
      <c r="H8" s="9" t="s">
        <v>81</v>
      </c>
      <c r="I8" s="8" t="s">
        <v>82</v>
      </c>
      <c r="J8" s="14" t="s">
        <v>83</v>
      </c>
      <c r="K8" s="9" t="s">
        <v>84</v>
      </c>
      <c r="L8" s="8" t="s">
        <v>85</v>
      </c>
      <c r="M8" s="8" t="s">
        <v>86</v>
      </c>
      <c r="N8" s="15" t="s">
        <v>87</v>
      </c>
      <c r="O8" s="8" t="s">
        <v>88</v>
      </c>
      <c r="P8"/>
      <c r="Q8"/>
      <c r="R8"/>
    </row>
    <row r="9" spans="1:18">
      <c r="A9" s="10" t="s">
        <v>17</v>
      </c>
      <c r="G9" s="11">
        <v>191</v>
      </c>
      <c r="H9" s="11">
        <v>91152.75</v>
      </c>
      <c r="I9" s="11">
        <v>0</v>
      </c>
      <c r="J9" s="11">
        <v>91152.75</v>
      </c>
      <c r="K9" s="11">
        <v>477.239528795812</v>
      </c>
      <c r="L9" s="11">
        <v>1859.52</v>
      </c>
      <c r="M9" s="11">
        <v>13951.86</v>
      </c>
      <c r="N9" s="11">
        <v>106964.12</v>
      </c>
      <c r="O9" s="11">
        <v>0</v>
      </c>
      <c r="P9"/>
      <c r="Q9"/>
      <c r="R9"/>
    </row>
    <row r="10" spans="1:18">
      <c r="A10" s="12" t="s">
        <v>18</v>
      </c>
      <c r="G10" s="11">
        <v>191</v>
      </c>
      <c r="H10" s="11">
        <v>91152.75</v>
      </c>
      <c r="I10" s="11">
        <v>0</v>
      </c>
      <c r="J10" s="11">
        <v>91152.75</v>
      </c>
      <c r="K10" s="11">
        <v>477.239528795812</v>
      </c>
      <c r="L10" s="11">
        <v>1859.52</v>
      </c>
      <c r="M10" s="11">
        <v>13951.86</v>
      </c>
      <c r="N10" s="11">
        <v>106964.12</v>
      </c>
      <c r="O10" s="11">
        <v>0</v>
      </c>
      <c r="P10"/>
      <c r="Q10"/>
      <c r="R10"/>
    </row>
    <row r="11" spans="1:18">
      <c r="A11" s="13">
        <v>43505</v>
      </c>
      <c r="B11" s="10" t="s">
        <v>26</v>
      </c>
      <c r="C11" s="10" t="s">
        <v>25</v>
      </c>
      <c r="D11" s="10" t="s">
        <v>27</v>
      </c>
      <c r="E11" s="10" t="s">
        <v>23</v>
      </c>
      <c r="F11" s="10" t="s">
        <v>28</v>
      </c>
      <c r="G11" s="11">
        <v>125</v>
      </c>
      <c r="H11" s="11">
        <v>63593.75</v>
      </c>
      <c r="I11" s="11">
        <v>0</v>
      </c>
      <c r="J11" s="11">
        <v>63593.75</v>
      </c>
      <c r="K11" s="11">
        <v>508.75</v>
      </c>
      <c r="L11" s="11">
        <v>1297.31</v>
      </c>
      <c r="M11" s="11">
        <v>9733.66</v>
      </c>
      <c r="N11" s="11">
        <v>74624.72</v>
      </c>
      <c r="O11" s="11">
        <v>0</v>
      </c>
      <c r="P11"/>
      <c r="Q11"/>
      <c r="R11"/>
    </row>
    <row r="12" spans="2:18">
      <c r="B12" s="10" t="s">
        <v>20</v>
      </c>
      <c r="C12" s="10" t="s">
        <v>19</v>
      </c>
      <c r="D12" s="10" t="s">
        <v>21</v>
      </c>
      <c r="E12" s="10" t="s">
        <v>23</v>
      </c>
      <c r="F12" s="10" t="s">
        <v>24</v>
      </c>
      <c r="G12" s="11">
        <v>54</v>
      </c>
      <c r="H12" s="11">
        <v>17665.62</v>
      </c>
      <c r="I12" s="11">
        <v>0</v>
      </c>
      <c r="J12" s="11">
        <v>17665.62</v>
      </c>
      <c r="K12" s="11">
        <v>327.141111111111</v>
      </c>
      <c r="L12" s="11">
        <v>360.38</v>
      </c>
      <c r="M12" s="11">
        <v>2703.9</v>
      </c>
      <c r="N12" s="11">
        <v>20729.9</v>
      </c>
      <c r="O12" s="11">
        <v>0</v>
      </c>
      <c r="P12"/>
      <c r="Q12"/>
      <c r="R12"/>
    </row>
    <row r="13" spans="2:18">
      <c r="B13" s="10" t="s">
        <v>30</v>
      </c>
      <c r="C13" s="10" t="s">
        <v>29</v>
      </c>
      <c r="D13" s="10" t="s">
        <v>31</v>
      </c>
      <c r="E13" s="10" t="s">
        <v>32</v>
      </c>
      <c r="F13" s="10" t="s">
        <v>32</v>
      </c>
      <c r="G13" s="11">
        <v>8</v>
      </c>
      <c r="H13" s="11">
        <v>3760.2</v>
      </c>
      <c r="I13" s="11">
        <v>0</v>
      </c>
      <c r="J13" s="11">
        <v>3760.2</v>
      </c>
      <c r="K13" s="11">
        <v>470.025</v>
      </c>
      <c r="L13" s="11">
        <v>76.71</v>
      </c>
      <c r="M13" s="11">
        <v>575.54</v>
      </c>
      <c r="N13" s="11">
        <v>4412.45</v>
      </c>
      <c r="O13" s="11">
        <v>0</v>
      </c>
      <c r="P13"/>
      <c r="Q13"/>
      <c r="R13"/>
    </row>
    <row r="14" spans="3:18">
      <c r="C14" s="10" t="s">
        <v>33</v>
      </c>
      <c r="D14" s="10" t="s">
        <v>34</v>
      </c>
      <c r="E14" s="10" t="s">
        <v>32</v>
      </c>
      <c r="F14" s="10" t="s">
        <v>32</v>
      </c>
      <c r="G14" s="11">
        <v>3</v>
      </c>
      <c r="H14" s="11">
        <v>3653.33</v>
      </c>
      <c r="I14" s="11">
        <v>0</v>
      </c>
      <c r="J14" s="11">
        <v>3653.33</v>
      </c>
      <c r="K14" s="11">
        <v>1217.77666666667</v>
      </c>
      <c r="L14" s="11">
        <v>74.53</v>
      </c>
      <c r="M14" s="11">
        <v>559.19</v>
      </c>
      <c r="N14" s="11">
        <v>4287.04</v>
      </c>
      <c r="O14" s="11">
        <v>0</v>
      </c>
      <c r="P14"/>
      <c r="Q14"/>
      <c r="R14"/>
    </row>
    <row r="15" spans="3:18">
      <c r="C15" s="10" t="s">
        <v>35</v>
      </c>
      <c r="D15" s="10" t="s">
        <v>31</v>
      </c>
      <c r="E15" s="10" t="s">
        <v>32</v>
      </c>
      <c r="F15" s="10" t="s">
        <v>32</v>
      </c>
      <c r="G15" s="11">
        <v>1</v>
      </c>
      <c r="H15" s="11">
        <v>2479.85</v>
      </c>
      <c r="I15" s="11">
        <v>0</v>
      </c>
      <c r="J15" s="11">
        <v>2479.85</v>
      </c>
      <c r="K15" s="11">
        <v>2479.85</v>
      </c>
      <c r="L15" s="11">
        <v>50.59</v>
      </c>
      <c r="M15" s="11">
        <v>379.57</v>
      </c>
      <c r="N15" s="11">
        <v>2910.01</v>
      </c>
      <c r="O15" s="11">
        <v>0</v>
      </c>
      <c r="P15"/>
      <c r="Q15"/>
      <c r="R15"/>
    </row>
    <row r="16" spans="1:18">
      <c r="A16" s="10" t="s">
        <v>36</v>
      </c>
      <c r="G16" s="11">
        <v>-5</v>
      </c>
      <c r="H16" s="11">
        <v>-4463.93</v>
      </c>
      <c r="I16" s="11">
        <v>0</v>
      </c>
      <c r="J16" s="11">
        <v>-4463.93</v>
      </c>
      <c r="K16" s="11">
        <v>892.786</v>
      </c>
      <c r="L16" s="11">
        <v>-91.07</v>
      </c>
      <c r="M16" s="11">
        <v>-683.25</v>
      </c>
      <c r="N16" s="11">
        <v>-5238.25</v>
      </c>
      <c r="O16" s="11">
        <v>0</v>
      </c>
      <c r="P16"/>
      <c r="Q16"/>
      <c r="R16"/>
    </row>
    <row r="17" spans="1:18">
      <c r="A17" s="12" t="s">
        <v>18</v>
      </c>
      <c r="G17" s="11">
        <v>-5</v>
      </c>
      <c r="H17" s="11">
        <v>-4463.93</v>
      </c>
      <c r="I17" s="11">
        <v>0</v>
      </c>
      <c r="J17" s="11">
        <v>-4463.93</v>
      </c>
      <c r="K17" s="11">
        <v>892.786</v>
      </c>
      <c r="L17" s="11">
        <v>-91.07</v>
      </c>
      <c r="M17" s="11">
        <v>-683.25</v>
      </c>
      <c r="N17" s="11">
        <v>-5238.25</v>
      </c>
      <c r="O17" s="11">
        <v>0</v>
      </c>
      <c r="P17"/>
      <c r="Q17"/>
      <c r="R17"/>
    </row>
    <row r="18" spans="1:18">
      <c r="A18" s="13">
        <v>43505</v>
      </c>
      <c r="B18" s="10" t="s">
        <v>38</v>
      </c>
      <c r="C18" s="10" t="s">
        <v>37</v>
      </c>
      <c r="D18" s="10" t="s">
        <v>39</v>
      </c>
      <c r="E18" s="10" t="s">
        <v>40</v>
      </c>
      <c r="F18" s="10" t="s">
        <v>41</v>
      </c>
      <c r="G18" s="11">
        <v>-2</v>
      </c>
      <c r="H18" s="11">
        <v>-607.6</v>
      </c>
      <c r="I18" s="11">
        <v>0</v>
      </c>
      <c r="J18" s="11">
        <v>-607.6</v>
      </c>
      <c r="K18" s="11">
        <v>303.8</v>
      </c>
      <c r="L18" s="11">
        <v>-12.4</v>
      </c>
      <c r="M18" s="11">
        <v>-93</v>
      </c>
      <c r="N18" s="11">
        <v>-713</v>
      </c>
      <c r="O18" s="11">
        <v>0</v>
      </c>
      <c r="P18"/>
      <c r="Q18"/>
      <c r="R18"/>
    </row>
    <row r="19" spans="3:18">
      <c r="C19" s="10" t="s">
        <v>42</v>
      </c>
      <c r="D19" s="10" t="s">
        <v>39</v>
      </c>
      <c r="E19" s="10" t="s">
        <v>40</v>
      </c>
      <c r="F19" s="10" t="s">
        <v>41</v>
      </c>
      <c r="G19" s="11">
        <v>-2</v>
      </c>
      <c r="H19" s="11">
        <v>-607.6</v>
      </c>
      <c r="I19" s="11">
        <v>0</v>
      </c>
      <c r="J19" s="11">
        <v>-607.6</v>
      </c>
      <c r="K19" s="11">
        <v>303.8</v>
      </c>
      <c r="L19" s="11">
        <v>-12.4</v>
      </c>
      <c r="M19" s="11">
        <v>-93</v>
      </c>
      <c r="N19" s="11">
        <v>-713</v>
      </c>
      <c r="O19" s="11">
        <v>0</v>
      </c>
      <c r="P19"/>
      <c r="Q19"/>
      <c r="R19"/>
    </row>
    <row r="20" spans="3:18">
      <c r="C20" s="10" t="s">
        <v>43</v>
      </c>
      <c r="D20" s="10" t="s">
        <v>39</v>
      </c>
      <c r="E20" s="10" t="s">
        <v>40</v>
      </c>
      <c r="F20" s="10" t="s">
        <v>41</v>
      </c>
      <c r="G20" s="11">
        <v>-1</v>
      </c>
      <c r="H20" s="11">
        <v>-3248.73</v>
      </c>
      <c r="I20" s="11">
        <v>0</v>
      </c>
      <c r="J20" s="11">
        <v>-3248.73</v>
      </c>
      <c r="K20" s="11">
        <v>3248.73</v>
      </c>
      <c r="L20" s="11">
        <v>-66.27</v>
      </c>
      <c r="M20" s="11">
        <v>-497.25</v>
      </c>
      <c r="N20" s="11">
        <v>-3812.25</v>
      </c>
      <c r="O20" s="11">
        <v>0</v>
      </c>
      <c r="P20"/>
      <c r="Q20"/>
      <c r="R20"/>
    </row>
    <row r="21" spans="1:18">
      <c r="A21" s="10" t="s">
        <v>44</v>
      </c>
      <c r="G21" s="11">
        <v>0</v>
      </c>
      <c r="H21" s="11">
        <v>2610</v>
      </c>
      <c r="I21" s="11">
        <v>0</v>
      </c>
      <c r="J21" s="11">
        <v>2610</v>
      </c>
      <c r="K21" s="11"/>
      <c r="L21" s="11">
        <v>0</v>
      </c>
      <c r="M21" s="11">
        <v>0</v>
      </c>
      <c r="N21" s="11">
        <v>2610</v>
      </c>
      <c r="O21" s="11">
        <v>0</v>
      </c>
      <c r="P21"/>
      <c r="Q21"/>
      <c r="R21"/>
    </row>
    <row r="22" spans="1:18">
      <c r="A22" s="12" t="s">
        <v>45</v>
      </c>
      <c r="G22" s="11">
        <v>0</v>
      </c>
      <c r="H22" s="11">
        <v>2610</v>
      </c>
      <c r="I22" s="11">
        <v>0</v>
      </c>
      <c r="J22" s="11">
        <v>2610</v>
      </c>
      <c r="K22" s="11"/>
      <c r="L22" s="11">
        <v>0</v>
      </c>
      <c r="M22" s="11">
        <v>0</v>
      </c>
      <c r="N22" s="11">
        <v>2610</v>
      </c>
      <c r="O22" s="11">
        <v>0</v>
      </c>
      <c r="P22"/>
      <c r="Q22"/>
      <c r="R22"/>
    </row>
    <row r="23" spans="1:18">
      <c r="A23" s="13">
        <v>43505</v>
      </c>
      <c r="B23" s="10" t="s">
        <v>30</v>
      </c>
      <c r="C23" s="10" t="s">
        <v>46</v>
      </c>
      <c r="D23" s="10" t="s">
        <v>47</v>
      </c>
      <c r="E23" s="10" t="s">
        <v>30</v>
      </c>
      <c r="F23" s="10" t="s">
        <v>30</v>
      </c>
      <c r="G23" s="11">
        <v>0</v>
      </c>
      <c r="H23" s="11">
        <v>2610</v>
      </c>
      <c r="I23" s="11">
        <v>0</v>
      </c>
      <c r="J23" s="11">
        <v>2610</v>
      </c>
      <c r="K23" s="11"/>
      <c r="L23" s="11">
        <v>0</v>
      </c>
      <c r="M23" s="11">
        <v>0</v>
      </c>
      <c r="N23" s="11">
        <v>2610</v>
      </c>
      <c r="O23" s="11">
        <v>0</v>
      </c>
      <c r="P23"/>
      <c r="Q23"/>
      <c r="R23"/>
    </row>
    <row r="24" spans="1:18">
      <c r="A24" s="10" t="s">
        <v>48</v>
      </c>
      <c r="G24" s="11">
        <v>44</v>
      </c>
      <c r="H24" s="11">
        <v>61173.793738176</v>
      </c>
      <c r="I24" s="11">
        <v>34.0872292195729</v>
      </c>
      <c r="J24" s="11">
        <v>61139.7065089565</v>
      </c>
      <c r="K24" s="11">
        <v>1389.53878429447</v>
      </c>
      <c r="L24" s="11">
        <v>1247.25001278271</v>
      </c>
      <c r="M24" s="11">
        <v>9358.04347826087</v>
      </c>
      <c r="N24" s="11">
        <v>71745</v>
      </c>
      <c r="O24" s="11">
        <v>0</v>
      </c>
      <c r="P24"/>
      <c r="Q24"/>
      <c r="R24"/>
    </row>
    <row r="25" spans="1:18">
      <c r="A25" s="12" t="s">
        <v>55</v>
      </c>
      <c r="G25" s="11">
        <v>19</v>
      </c>
      <c r="H25" s="11">
        <v>36545.7706270346</v>
      </c>
      <c r="I25" s="11">
        <v>0</v>
      </c>
      <c r="J25" s="11">
        <v>36545.7706270346</v>
      </c>
      <c r="K25" s="11">
        <v>1923.46161194919</v>
      </c>
      <c r="L25" s="11">
        <v>745.533720791506</v>
      </c>
      <c r="M25" s="11">
        <v>5593.69565217391</v>
      </c>
      <c r="N25" s="11">
        <v>42885</v>
      </c>
      <c r="O25" s="11">
        <v>0</v>
      </c>
      <c r="P25"/>
      <c r="Q25"/>
      <c r="R25"/>
    </row>
    <row r="26" spans="1:18">
      <c r="A26" s="13">
        <v>43505</v>
      </c>
      <c r="B26" s="10" t="s">
        <v>30</v>
      </c>
      <c r="C26" s="10" t="s">
        <v>56</v>
      </c>
      <c r="D26" s="10" t="s">
        <v>57</v>
      </c>
      <c r="E26" s="10" t="s">
        <v>51</v>
      </c>
      <c r="F26" s="10" t="s">
        <v>51</v>
      </c>
      <c r="G26" s="11">
        <v>1</v>
      </c>
      <c r="H26" s="11">
        <v>737.136331873264</v>
      </c>
      <c r="I26" s="11">
        <v>0</v>
      </c>
      <c r="J26" s="11">
        <v>737.136331873264</v>
      </c>
      <c r="K26" s="11">
        <v>737.136331873264</v>
      </c>
      <c r="L26" s="11">
        <v>15.0375811702146</v>
      </c>
      <c r="M26" s="11">
        <v>112.826086956522</v>
      </c>
      <c r="N26" s="11">
        <v>865</v>
      </c>
      <c r="O26" s="11">
        <v>0</v>
      </c>
      <c r="P26"/>
      <c r="Q26"/>
      <c r="R26"/>
    </row>
    <row r="27" spans="3:18">
      <c r="C27" s="10" t="s">
        <v>58</v>
      </c>
      <c r="D27" s="10" t="s">
        <v>57</v>
      </c>
      <c r="E27" s="10" t="s">
        <v>51</v>
      </c>
      <c r="F27" s="10" t="s">
        <v>51</v>
      </c>
      <c r="G27" s="11">
        <v>5</v>
      </c>
      <c r="H27" s="11">
        <v>8896.76682630852</v>
      </c>
      <c r="I27" s="11">
        <v>0</v>
      </c>
      <c r="J27" s="11">
        <v>8896.76682630852</v>
      </c>
      <c r="K27" s="11">
        <v>1779.3533652617</v>
      </c>
      <c r="L27" s="11">
        <v>181.494043256694</v>
      </c>
      <c r="M27" s="11">
        <v>1361.73913043478</v>
      </c>
      <c r="N27" s="11">
        <v>10440</v>
      </c>
      <c r="O27" s="11">
        <v>0</v>
      </c>
      <c r="P27"/>
      <c r="Q27"/>
      <c r="R27"/>
    </row>
    <row r="28" spans="3:18">
      <c r="C28" s="10" t="s">
        <v>59</v>
      </c>
      <c r="D28" s="10" t="s">
        <v>57</v>
      </c>
      <c r="E28" s="10" t="s">
        <v>51</v>
      </c>
      <c r="F28" s="10" t="s">
        <v>51</v>
      </c>
      <c r="G28" s="11">
        <v>10</v>
      </c>
      <c r="H28" s="11">
        <v>18390.0601639596</v>
      </c>
      <c r="I28" s="11">
        <v>0</v>
      </c>
      <c r="J28" s="11">
        <v>18390.0601639596</v>
      </c>
      <c r="K28" s="11">
        <v>1839.00601639596</v>
      </c>
      <c r="L28" s="11">
        <v>375.157227344775</v>
      </c>
      <c r="M28" s="11">
        <v>2814.78260869565</v>
      </c>
      <c r="N28" s="11">
        <v>21580</v>
      </c>
      <c r="O28" s="11">
        <v>0</v>
      </c>
      <c r="P28"/>
      <c r="Q28"/>
      <c r="R28"/>
    </row>
    <row r="29" spans="3:18">
      <c r="C29" s="10" t="s">
        <v>60</v>
      </c>
      <c r="D29" s="10" t="s">
        <v>57</v>
      </c>
      <c r="E29" s="10" t="s">
        <v>51</v>
      </c>
      <c r="F29" s="10" t="s">
        <v>51</v>
      </c>
      <c r="G29" s="11">
        <v>3</v>
      </c>
      <c r="H29" s="11">
        <v>8521.80730489322</v>
      </c>
      <c r="I29" s="11">
        <v>0</v>
      </c>
      <c r="J29" s="11">
        <v>8521.80730489322</v>
      </c>
      <c r="K29" s="11">
        <v>2840.60243496441</v>
      </c>
      <c r="L29" s="11">
        <v>173.844869019822</v>
      </c>
      <c r="M29" s="11">
        <v>1304.34782608696</v>
      </c>
      <c r="N29" s="11">
        <v>10000</v>
      </c>
      <c r="O29" s="11">
        <v>0</v>
      </c>
      <c r="P29"/>
      <c r="Q29"/>
      <c r="R29"/>
    </row>
    <row r="30" spans="1:18">
      <c r="A30" s="12" t="s">
        <v>45</v>
      </c>
      <c r="G30" s="11">
        <v>11</v>
      </c>
      <c r="H30" s="11">
        <v>12152.0972167778</v>
      </c>
      <c r="I30" s="11">
        <v>0</v>
      </c>
      <c r="J30" s="11">
        <v>12152.0972167778</v>
      </c>
      <c r="K30" s="11">
        <v>1104.73611061616</v>
      </c>
      <c r="L30" s="11">
        <v>247.902783222266</v>
      </c>
      <c r="M30" s="11">
        <v>1860</v>
      </c>
      <c r="N30" s="11">
        <v>14260</v>
      </c>
      <c r="O30" s="11">
        <v>0</v>
      </c>
      <c r="P30"/>
      <c r="Q30"/>
      <c r="R30"/>
    </row>
    <row r="31" spans="1:18">
      <c r="A31" s="13">
        <v>43505</v>
      </c>
      <c r="B31" s="10" t="s">
        <v>30</v>
      </c>
      <c r="C31" s="10" t="s">
        <v>49</v>
      </c>
      <c r="D31" s="10" t="s">
        <v>50</v>
      </c>
      <c r="E31" s="10" t="s">
        <v>51</v>
      </c>
      <c r="F31" s="10" t="s">
        <v>51</v>
      </c>
      <c r="G31" s="11">
        <v>1</v>
      </c>
      <c r="H31" s="11">
        <v>2922.97990557837</v>
      </c>
      <c r="I31" s="11">
        <v>0</v>
      </c>
      <c r="J31" s="11">
        <v>2922.97990557837</v>
      </c>
      <c r="K31" s="11">
        <v>2922.97990557837</v>
      </c>
      <c r="L31" s="11">
        <v>59.6287900737988</v>
      </c>
      <c r="M31" s="11">
        <v>447.391304347826</v>
      </c>
      <c r="N31" s="11">
        <v>3430</v>
      </c>
      <c r="O31" s="11">
        <v>0</v>
      </c>
      <c r="P31"/>
      <c r="Q31"/>
      <c r="R31"/>
    </row>
    <row r="32" spans="3:18">
      <c r="C32" s="10" t="s">
        <v>52</v>
      </c>
      <c r="D32" s="10" t="s">
        <v>50</v>
      </c>
      <c r="E32" s="10" t="s">
        <v>51</v>
      </c>
      <c r="F32" s="10" t="s">
        <v>51</v>
      </c>
      <c r="G32" s="11">
        <v>2</v>
      </c>
      <c r="H32" s="11">
        <v>1227.14025190462</v>
      </c>
      <c r="I32" s="11">
        <v>0</v>
      </c>
      <c r="J32" s="11">
        <v>1227.14025190462</v>
      </c>
      <c r="K32" s="11">
        <v>613.57012595231</v>
      </c>
      <c r="L32" s="11">
        <v>25.0336611388543</v>
      </c>
      <c r="M32" s="11">
        <v>187.826086956522</v>
      </c>
      <c r="N32" s="11">
        <v>1440</v>
      </c>
      <c r="O32" s="11">
        <v>0</v>
      </c>
      <c r="P32"/>
      <c r="Q32"/>
      <c r="R32"/>
    </row>
    <row r="33" spans="3:18">
      <c r="C33" s="10" t="s">
        <v>53</v>
      </c>
      <c r="D33" s="10" t="s">
        <v>54</v>
      </c>
      <c r="E33" s="10" t="s">
        <v>30</v>
      </c>
      <c r="F33" s="10" t="s">
        <v>30</v>
      </c>
      <c r="G33" s="11">
        <v>9</v>
      </c>
      <c r="H33" s="11">
        <v>10226.1687658719</v>
      </c>
      <c r="I33" s="11">
        <v>0</v>
      </c>
      <c r="J33" s="11">
        <v>10226.1687658719</v>
      </c>
      <c r="K33" s="11">
        <v>1136.24097398577</v>
      </c>
      <c r="L33" s="11">
        <v>208.613842823786</v>
      </c>
      <c r="M33" s="11">
        <v>1565.21739130435</v>
      </c>
      <c r="N33" s="11">
        <v>12000</v>
      </c>
      <c r="O33" s="11">
        <v>0</v>
      </c>
      <c r="P33"/>
      <c r="Q33"/>
      <c r="R33"/>
    </row>
    <row r="34" spans="3:18">
      <c r="C34" s="10" t="s">
        <v>68</v>
      </c>
      <c r="D34" s="10" t="s">
        <v>47</v>
      </c>
      <c r="E34" s="10" t="s">
        <v>30</v>
      </c>
      <c r="F34" s="10" t="s">
        <v>30</v>
      </c>
      <c r="G34" s="11">
        <v>-1</v>
      </c>
      <c r="H34" s="11">
        <v>-2224.19170657713</v>
      </c>
      <c r="I34" s="11">
        <v>0</v>
      </c>
      <c r="J34" s="11">
        <v>-2224.19170657713</v>
      </c>
      <c r="K34" s="11">
        <v>2224.19170657713</v>
      </c>
      <c r="L34" s="11">
        <v>-45.3735108141735</v>
      </c>
      <c r="M34" s="11">
        <v>-340.434782608696</v>
      </c>
      <c r="N34" s="11">
        <v>-2610</v>
      </c>
      <c r="O34" s="11">
        <v>0</v>
      </c>
      <c r="P34"/>
      <c r="Q34"/>
      <c r="R34"/>
    </row>
    <row r="35" spans="1:18">
      <c r="A35" s="12" t="s">
        <v>61</v>
      </c>
      <c r="B35"/>
      <c r="C35"/>
      <c r="D35"/>
      <c r="E35"/>
      <c r="F35"/>
      <c r="G35" s="11">
        <v>14</v>
      </c>
      <c r="H35" s="11">
        <v>12475.9258943637</v>
      </c>
      <c r="I35" s="11">
        <v>34.0872292195729</v>
      </c>
      <c r="J35" s="11">
        <v>12441.8386651441</v>
      </c>
      <c r="K35" s="11">
        <v>888.702761796007</v>
      </c>
      <c r="L35" s="11">
        <v>253.81350876894</v>
      </c>
      <c r="M35" s="11">
        <v>1904.34782608696</v>
      </c>
      <c r="N35" s="11">
        <v>14600</v>
      </c>
      <c r="O35" s="11">
        <v>0</v>
      </c>
      <c r="P35"/>
      <c r="Q35"/>
      <c r="R35"/>
    </row>
    <row r="36" spans="1:18">
      <c r="A36" s="13">
        <v>43505</v>
      </c>
      <c r="B36" s="10" t="s">
        <v>30</v>
      </c>
      <c r="C36" s="10" t="s">
        <v>62</v>
      </c>
      <c r="D36" s="10" t="s">
        <v>63</v>
      </c>
      <c r="E36" s="10" t="s">
        <v>51</v>
      </c>
      <c r="F36" s="10" t="s">
        <v>51</v>
      </c>
      <c r="G36" s="11">
        <v>5</v>
      </c>
      <c r="H36" s="11">
        <v>2130.45182622331</v>
      </c>
      <c r="I36" s="11">
        <v>0</v>
      </c>
      <c r="J36" s="11">
        <v>2130.45182622331</v>
      </c>
      <c r="K36" s="11">
        <v>426.090365244662</v>
      </c>
      <c r="L36" s="11">
        <v>43.4612172549554</v>
      </c>
      <c r="M36" s="11">
        <v>326.086956521739</v>
      </c>
      <c r="N36" s="11">
        <v>2500</v>
      </c>
      <c r="O36" s="11">
        <v>0</v>
      </c>
      <c r="P36"/>
      <c r="Q36"/>
      <c r="R36"/>
    </row>
    <row r="37" spans="3:18">
      <c r="C37" s="10" t="s">
        <v>64</v>
      </c>
      <c r="D37" s="10" t="s">
        <v>63</v>
      </c>
      <c r="E37" s="10" t="s">
        <v>51</v>
      </c>
      <c r="F37" s="10" t="s">
        <v>51</v>
      </c>
      <c r="G37" s="11">
        <v>6</v>
      </c>
      <c r="H37" s="11">
        <v>4729.60305421574</v>
      </c>
      <c r="I37" s="11">
        <v>0</v>
      </c>
      <c r="J37" s="11">
        <v>4729.60305421574</v>
      </c>
      <c r="K37" s="11">
        <v>788.267175702623</v>
      </c>
      <c r="L37" s="11">
        <v>96.483902306001</v>
      </c>
      <c r="M37" s="11">
        <v>723.913043478261</v>
      </c>
      <c r="N37" s="11">
        <v>5550</v>
      </c>
      <c r="O37" s="11">
        <v>0</v>
      </c>
      <c r="P37"/>
      <c r="Q37"/>
      <c r="R37"/>
    </row>
    <row r="38" spans="3:18">
      <c r="C38" s="10" t="s">
        <v>65</v>
      </c>
      <c r="D38" s="10" t="s">
        <v>63</v>
      </c>
      <c r="E38" s="10" t="s">
        <v>51</v>
      </c>
      <c r="F38" s="10" t="s">
        <v>51</v>
      </c>
      <c r="G38" s="11">
        <v>1</v>
      </c>
      <c r="H38" s="11">
        <v>4422.81799123958</v>
      </c>
      <c r="I38" s="11">
        <v>0</v>
      </c>
      <c r="J38" s="11">
        <v>4422.81799123958</v>
      </c>
      <c r="K38" s="11">
        <v>4422.81799123958</v>
      </c>
      <c r="L38" s="11">
        <v>90.2254870212875</v>
      </c>
      <c r="M38" s="11">
        <v>676.95652173913</v>
      </c>
      <c r="N38" s="11">
        <v>5190</v>
      </c>
      <c r="O38" s="11">
        <v>0</v>
      </c>
      <c r="P38"/>
      <c r="Q38"/>
      <c r="R38"/>
    </row>
    <row r="39" spans="3:18">
      <c r="C39" s="10" t="s">
        <v>66</v>
      </c>
      <c r="D39" s="10" t="s">
        <v>63</v>
      </c>
      <c r="E39" s="10" t="s">
        <v>51</v>
      </c>
      <c r="F39" s="10" t="s">
        <v>51</v>
      </c>
      <c r="G39" s="11">
        <v>1</v>
      </c>
      <c r="H39" s="11">
        <v>852.180730489322</v>
      </c>
      <c r="I39" s="11">
        <v>0</v>
      </c>
      <c r="J39" s="11">
        <v>852.180730489322</v>
      </c>
      <c r="K39" s="11">
        <v>852.180730489322</v>
      </c>
      <c r="L39" s="11">
        <v>17.3844869019822</v>
      </c>
      <c r="M39" s="11">
        <v>130.434782608696</v>
      </c>
      <c r="N39" s="11">
        <v>1000</v>
      </c>
      <c r="O39" s="11">
        <v>0</v>
      </c>
      <c r="P39"/>
      <c r="Q39"/>
      <c r="R39"/>
    </row>
    <row r="40" spans="3:18">
      <c r="C40" s="10" t="s">
        <v>67</v>
      </c>
      <c r="D40" s="10" t="s">
        <v>63</v>
      </c>
      <c r="E40" s="10" t="s">
        <v>51</v>
      </c>
      <c r="F40" s="10" t="s">
        <v>51</v>
      </c>
      <c r="G40" s="11">
        <v>1</v>
      </c>
      <c r="H40" s="11">
        <v>340.872292195729</v>
      </c>
      <c r="I40" s="11">
        <v>34.0872292195729</v>
      </c>
      <c r="J40" s="11">
        <v>306.785062976156</v>
      </c>
      <c r="K40" s="11">
        <v>306.785062976156</v>
      </c>
      <c r="L40" s="11">
        <v>6.25841528471358</v>
      </c>
      <c r="M40" s="11">
        <v>46.9565217391304</v>
      </c>
      <c r="N40" s="11">
        <v>360</v>
      </c>
      <c r="O40" s="11">
        <v>0</v>
      </c>
      <c r="P40"/>
      <c r="Q40"/>
      <c r="R40"/>
    </row>
    <row r="41" spans="1:18">
      <c r="A41" s="10" t="s">
        <v>89</v>
      </c>
      <c r="G41" s="11">
        <v>230</v>
      </c>
      <c r="H41" s="11">
        <v>150472.613738176</v>
      </c>
      <c r="I41" s="11">
        <v>34.0872292195729</v>
      </c>
      <c r="J41" s="11">
        <v>150438.526508956</v>
      </c>
      <c r="K41" s="11">
        <v>654.080550038939</v>
      </c>
      <c r="L41" s="11">
        <v>3015.70001278271</v>
      </c>
      <c r="M41" s="11">
        <v>22626.6534782609</v>
      </c>
      <c r="N41" s="11">
        <v>176080.87</v>
      </c>
      <c r="O41" s="11">
        <v>0</v>
      </c>
      <c r="P41"/>
      <c r="Q41"/>
      <c r="R41"/>
    </row>
    <row r="42" spans="9:18">
      <c r="I42"/>
      <c r="J42"/>
      <c r="K42"/>
      <c r="L42"/>
      <c r="M42"/>
      <c r="N42"/>
      <c r="O42"/>
      <c r="P42"/>
      <c r="Q42"/>
      <c r="R42"/>
    </row>
    <row r="43" spans="9:18">
      <c r="I43"/>
      <c r="J43"/>
      <c r="K43"/>
      <c r="L43"/>
      <c r="M43"/>
      <c r="N43"/>
      <c r="O43"/>
      <c r="P43"/>
      <c r="Q43"/>
      <c r="R43"/>
    </row>
    <row r="44" spans="9:18">
      <c r="I44"/>
      <c r="J44"/>
      <c r="K44"/>
      <c r="L44"/>
      <c r="M44"/>
      <c r="N44"/>
      <c r="O44"/>
      <c r="P44"/>
      <c r="Q44"/>
      <c r="R44"/>
    </row>
    <row r="45" spans="9:18">
      <c r="I45"/>
      <c r="J45"/>
      <c r="K45"/>
      <c r="L45"/>
      <c r="M45"/>
      <c r="N45"/>
      <c r="O45"/>
      <c r="P45"/>
      <c r="Q45"/>
      <c r="R45"/>
    </row>
    <row r="46" spans="9:18">
      <c r="I46"/>
      <c r="J46"/>
      <c r="K46"/>
      <c r="L46"/>
      <c r="M46"/>
      <c r="N46"/>
      <c r="O46"/>
      <c r="P46"/>
      <c r="Q46"/>
      <c r="R46"/>
    </row>
    <row r="47" spans="9:18">
      <c r="I47"/>
      <c r="J47"/>
      <c r="K47"/>
      <c r="L47"/>
      <c r="M47"/>
      <c r="N47"/>
      <c r="O47"/>
      <c r="P47"/>
      <c r="Q47"/>
      <c r="R47"/>
    </row>
    <row r="48" spans="9:18">
      <c r="I48"/>
      <c r="J48"/>
      <c r="K48"/>
      <c r="L48"/>
      <c r="M48"/>
      <c r="N48"/>
      <c r="O48"/>
      <c r="P48"/>
      <c r="Q48"/>
      <c r="R48"/>
    </row>
    <row r="49" spans="9:18">
      <c r="I49"/>
      <c r="J49"/>
      <c r="K49"/>
      <c r="L49"/>
      <c r="M49"/>
      <c r="N49"/>
      <c r="O49"/>
      <c r="P49"/>
      <c r="Q49"/>
      <c r="R49"/>
    </row>
    <row r="50" spans="9:18">
      <c r="I50"/>
      <c r="J50"/>
      <c r="K50"/>
      <c r="L50"/>
      <c r="M50"/>
      <c r="N50"/>
      <c r="O50"/>
      <c r="P50"/>
      <c r="Q50"/>
      <c r="R50"/>
    </row>
    <row r="51" spans="9:18">
      <c r="I51"/>
      <c r="J51"/>
      <c r="K51"/>
      <c r="L51"/>
      <c r="M51"/>
      <c r="N51"/>
      <c r="O51"/>
      <c r="P51"/>
      <c r="Q51"/>
      <c r="R51"/>
    </row>
    <row r="52" spans="9:18">
      <c r="I52"/>
      <c r="J52"/>
      <c r="K52"/>
      <c r="L52"/>
      <c r="M52"/>
      <c r="N52"/>
      <c r="O52"/>
      <c r="P52"/>
      <c r="Q52"/>
      <c r="R52"/>
    </row>
    <row r="53" spans="9:18">
      <c r="I53"/>
      <c r="J53"/>
      <c r="K53"/>
      <c r="L53"/>
      <c r="M53"/>
      <c r="N53"/>
      <c r="O53"/>
      <c r="P53"/>
      <c r="Q53"/>
      <c r="R53"/>
    </row>
    <row r="54" spans="9:18">
      <c r="I54"/>
      <c r="J54"/>
      <c r="K54"/>
      <c r="L54"/>
      <c r="M54"/>
      <c r="N54"/>
      <c r="O54"/>
      <c r="P54"/>
      <c r="Q54"/>
      <c r="R54"/>
    </row>
    <row r="55" spans="9:18">
      <c r="I55"/>
      <c r="J55"/>
      <c r="K55"/>
      <c r="L55"/>
      <c r="M55"/>
      <c r="N55"/>
      <c r="O55"/>
      <c r="P55"/>
      <c r="Q55"/>
      <c r="R55"/>
    </row>
    <row r="56" spans="9:18">
      <c r="I56"/>
      <c r="J56"/>
      <c r="K56"/>
      <c r="L56"/>
      <c r="M56"/>
      <c r="N56"/>
      <c r="O56"/>
      <c r="P56"/>
      <c r="Q56"/>
      <c r="R56"/>
    </row>
    <row r="57" spans="9:18">
      <c r="I57"/>
      <c r="J57"/>
      <c r="K57"/>
      <c r="L57"/>
      <c r="M57"/>
      <c r="N57"/>
      <c r="O57"/>
      <c r="P57"/>
      <c r="Q57"/>
      <c r="R57"/>
    </row>
    <row r="58" spans="9:18">
      <c r="I58"/>
      <c r="J58"/>
      <c r="K58"/>
      <c r="L58"/>
      <c r="M58"/>
      <c r="N58"/>
      <c r="O58"/>
      <c r="P58"/>
      <c r="Q58"/>
      <c r="R58"/>
    </row>
    <row r="59" spans="9:18">
      <c r="I59"/>
      <c r="J59"/>
      <c r="K59"/>
      <c r="L59"/>
      <c r="M59"/>
      <c r="N59"/>
      <c r="O59"/>
      <c r="P59"/>
      <c r="Q59"/>
      <c r="R59"/>
    </row>
    <row r="60" spans="9:18">
      <c r="I60"/>
      <c r="J60"/>
      <c r="K60"/>
      <c r="L60"/>
      <c r="M60"/>
      <c r="N60"/>
      <c r="O60"/>
      <c r="P60"/>
      <c r="Q60"/>
      <c r="R60"/>
    </row>
    <row r="61" spans="9:18">
      <c r="I61"/>
      <c r="J61"/>
      <c r="K61"/>
      <c r="L61"/>
      <c r="M61"/>
      <c r="N61"/>
      <c r="O61"/>
      <c r="P61"/>
      <c r="Q61"/>
      <c r="R61"/>
    </row>
    <row r="62" spans="9:18">
      <c r="I62"/>
      <c r="J62"/>
      <c r="K62"/>
      <c r="L62"/>
      <c r="M62"/>
      <c r="N62"/>
      <c r="O62"/>
      <c r="P62"/>
      <c r="Q62"/>
      <c r="R62"/>
    </row>
    <row r="63" spans="9:18">
      <c r="I63"/>
      <c r="J63"/>
      <c r="K63"/>
      <c r="L63"/>
      <c r="M63"/>
      <c r="N63"/>
      <c r="O63"/>
      <c r="P63"/>
      <c r="Q63"/>
      <c r="R63"/>
    </row>
    <row r="64" spans="9:18">
      <c r="I64"/>
      <c r="J64"/>
      <c r="K64"/>
      <c r="L64"/>
      <c r="M64"/>
      <c r="N64"/>
      <c r="O64"/>
      <c r="P64"/>
      <c r="Q64"/>
      <c r="R64"/>
    </row>
    <row r="65" spans="9:18">
      <c r="I65"/>
      <c r="J65"/>
      <c r="K65"/>
      <c r="L65"/>
      <c r="M65"/>
      <c r="N65"/>
      <c r="O65"/>
      <c r="P65"/>
      <c r="Q65"/>
      <c r="R65"/>
    </row>
    <row r="66" spans="9:18">
      <c r="I66"/>
      <c r="J66"/>
      <c r="K66"/>
      <c r="L66"/>
      <c r="M66"/>
      <c r="N66"/>
      <c r="O66"/>
      <c r="P66"/>
      <c r="Q66"/>
      <c r="R66"/>
    </row>
    <row r="67" spans="9:18">
      <c r="I67"/>
      <c r="J67"/>
      <c r="K67"/>
      <c r="L67"/>
      <c r="M67"/>
      <c r="N67"/>
      <c r="O67"/>
      <c r="P67"/>
      <c r="Q67"/>
      <c r="R67"/>
    </row>
    <row r="68" spans="9:18">
      <c r="I68"/>
      <c r="J68"/>
      <c r="K68"/>
      <c r="L68"/>
      <c r="M68"/>
      <c r="N68"/>
      <c r="O68"/>
      <c r="P68"/>
      <c r="Q68"/>
      <c r="R68"/>
    </row>
    <row r="69" spans="9:18">
      <c r="I69"/>
      <c r="J69"/>
      <c r="K69"/>
      <c r="L69"/>
      <c r="M69"/>
      <c r="N69"/>
      <c r="O69"/>
      <c r="P69"/>
      <c r="Q69"/>
      <c r="R69"/>
    </row>
    <row r="70" spans="9:18">
      <c r="I70"/>
      <c r="J70"/>
      <c r="K70"/>
      <c r="L70"/>
      <c r="M70"/>
      <c r="N70"/>
      <c r="O70"/>
      <c r="P70"/>
      <c r="Q70"/>
      <c r="R70"/>
    </row>
    <row r="71" spans="9:18">
      <c r="I71"/>
      <c r="J71"/>
      <c r="K71"/>
      <c r="L71"/>
      <c r="M71"/>
      <c r="N71"/>
      <c r="O71"/>
      <c r="P71"/>
      <c r="Q71"/>
      <c r="R71"/>
    </row>
    <row r="72" spans="9:18">
      <c r="I72"/>
      <c r="J72"/>
      <c r="K72"/>
      <c r="L72"/>
      <c r="M72"/>
      <c r="N72"/>
      <c r="O72"/>
      <c r="P72"/>
      <c r="Q72"/>
      <c r="R72"/>
    </row>
    <row r="73" spans="9:18">
      <c r="I73"/>
      <c r="J73"/>
      <c r="K73"/>
      <c r="L73"/>
      <c r="M73"/>
      <c r="N73"/>
      <c r="O73"/>
      <c r="P73"/>
      <c r="Q73"/>
      <c r="R73"/>
    </row>
    <row r="74" spans="9:18">
      <c r="I74"/>
      <c r="J74"/>
      <c r="K74"/>
      <c r="L74"/>
      <c r="M74"/>
      <c r="N74"/>
      <c r="O74"/>
      <c r="P74"/>
      <c r="Q74"/>
      <c r="R74"/>
    </row>
    <row r="75" spans="9:18">
      <c r="I75"/>
      <c r="J75"/>
      <c r="K75"/>
      <c r="L75"/>
      <c r="M75"/>
      <c r="N75"/>
      <c r="O75"/>
      <c r="P75"/>
      <c r="Q75"/>
      <c r="R75"/>
    </row>
    <row r="76" spans="9:18">
      <c r="I76"/>
      <c r="J76"/>
      <c r="K76"/>
      <c r="L76"/>
      <c r="M76"/>
      <c r="N76"/>
      <c r="O76"/>
      <c r="P76"/>
      <c r="Q76"/>
      <c r="R76"/>
    </row>
    <row r="77" spans="9:18">
      <c r="I77"/>
      <c r="J77"/>
      <c r="K77"/>
      <c r="L77"/>
      <c r="M77"/>
      <c r="N77"/>
      <c r="O77"/>
      <c r="P77"/>
      <c r="Q77"/>
      <c r="R77"/>
    </row>
    <row r="78" spans="9:18">
      <c r="I78"/>
      <c r="J78"/>
      <c r="K78"/>
      <c r="L78"/>
      <c r="M78"/>
      <c r="N78"/>
      <c r="O78"/>
      <c r="P78"/>
      <c r="Q78"/>
      <c r="R78"/>
    </row>
    <row r="79" spans="9:18">
      <c r="I79"/>
      <c r="J79"/>
      <c r="K79"/>
      <c r="L79"/>
      <c r="M79"/>
      <c r="N79"/>
      <c r="O79"/>
      <c r="P79"/>
      <c r="Q79"/>
      <c r="R79"/>
    </row>
    <row r="80" spans="9:18">
      <c r="I80"/>
      <c r="J80"/>
      <c r="K80"/>
      <c r="L80"/>
      <c r="M80"/>
      <c r="N80"/>
      <c r="O80"/>
      <c r="P80"/>
      <c r="Q80"/>
      <c r="R80"/>
    </row>
    <row r="81" spans="9:18">
      <c r="I81"/>
      <c r="J81"/>
      <c r="K81"/>
      <c r="L81"/>
      <c r="M81"/>
      <c r="N81"/>
      <c r="O81"/>
      <c r="P81"/>
      <c r="Q81"/>
      <c r="R81"/>
    </row>
    <row r="82" spans="9:18">
      <c r="I82"/>
      <c r="J82"/>
      <c r="K82"/>
      <c r="L82"/>
      <c r="M82"/>
      <c r="N82"/>
      <c r="O82"/>
      <c r="P82"/>
      <c r="Q82"/>
      <c r="R82"/>
    </row>
    <row r="83" spans="9:18">
      <c r="I83"/>
      <c r="J83"/>
      <c r="K83"/>
      <c r="L83"/>
      <c r="M83"/>
      <c r="N83"/>
      <c r="O83"/>
      <c r="P83"/>
      <c r="Q83"/>
      <c r="R83"/>
    </row>
    <row r="84" spans="9:18">
      <c r="I84"/>
      <c r="J84"/>
      <c r="K84"/>
      <c r="L84"/>
      <c r="M84"/>
      <c r="N84"/>
      <c r="O84"/>
      <c r="P84"/>
      <c r="Q84"/>
      <c r="R84"/>
    </row>
    <row r="85" spans="9:18">
      <c r="I85"/>
      <c r="J85"/>
      <c r="K85"/>
      <c r="L85"/>
      <c r="M85"/>
      <c r="N85"/>
      <c r="O85"/>
      <c r="P85"/>
      <c r="Q85"/>
      <c r="R85"/>
    </row>
    <row r="86" spans="9:18">
      <c r="I86"/>
      <c r="J86"/>
      <c r="K86"/>
      <c r="L86"/>
      <c r="M86"/>
      <c r="N86"/>
      <c r="O86"/>
      <c r="P86"/>
      <c r="Q86"/>
      <c r="R86"/>
    </row>
    <row r="87" spans="9:18">
      <c r="I87"/>
      <c r="J87"/>
      <c r="K87"/>
      <c r="L87"/>
      <c r="M87"/>
      <c r="N87"/>
      <c r="O87"/>
      <c r="P87"/>
      <c r="Q87"/>
      <c r="R87"/>
    </row>
    <row r="88" spans="9:18">
      <c r="I88"/>
      <c r="J88"/>
      <c r="K88"/>
      <c r="L88"/>
      <c r="M88"/>
      <c r="N88"/>
      <c r="O88"/>
      <c r="P88"/>
      <c r="Q88"/>
      <c r="R88"/>
    </row>
    <row r="89" spans="9:18">
      <c r="I89"/>
      <c r="J89"/>
      <c r="K89"/>
      <c r="L89"/>
      <c r="M89"/>
      <c r="N89"/>
      <c r="O89"/>
      <c r="P89"/>
      <c r="Q89"/>
      <c r="R89"/>
    </row>
    <row r="90" spans="9:18">
      <c r="I90"/>
      <c r="J90"/>
      <c r="K90"/>
      <c r="L90"/>
      <c r="M90"/>
      <c r="N90"/>
      <c r="O90"/>
      <c r="P90"/>
      <c r="Q90"/>
      <c r="R90"/>
    </row>
    <row r="91" spans="9:18">
      <c r="I91"/>
      <c r="J91"/>
      <c r="K91"/>
      <c r="L91"/>
      <c r="M91"/>
      <c r="N91"/>
      <c r="O91"/>
      <c r="P91"/>
      <c r="Q91"/>
      <c r="R91"/>
    </row>
    <row r="92" spans="9:18">
      <c r="I92"/>
      <c r="J92"/>
      <c r="K92"/>
      <c r="L92"/>
      <c r="M92"/>
      <c r="N92"/>
      <c r="O92"/>
      <c r="P92"/>
      <c r="Q92"/>
      <c r="R92"/>
    </row>
    <row r="93" spans="9:18">
      <c r="I93"/>
      <c r="J93"/>
      <c r="K93"/>
      <c r="L93"/>
      <c r="M93"/>
      <c r="N93"/>
      <c r="O93"/>
      <c r="P93"/>
      <c r="Q93"/>
      <c r="R93"/>
    </row>
    <row r="94" spans="9:18">
      <c r="I94"/>
      <c r="J94"/>
      <c r="K94"/>
      <c r="L94"/>
      <c r="M94"/>
      <c r="N94"/>
      <c r="O94"/>
      <c r="P94"/>
      <c r="Q94"/>
      <c r="R94"/>
    </row>
    <row r="95" spans="9:18">
      <c r="I95"/>
      <c r="J95"/>
      <c r="K95"/>
      <c r="L95"/>
      <c r="M95"/>
      <c r="N95"/>
      <c r="O95"/>
      <c r="P95"/>
      <c r="Q95"/>
      <c r="R95"/>
    </row>
    <row r="96" spans="9:18">
      <c r="I96"/>
      <c r="J96"/>
      <c r="K96"/>
      <c r="L96"/>
      <c r="M96"/>
      <c r="N96"/>
      <c r="O96"/>
      <c r="P96"/>
      <c r="Q96"/>
      <c r="R96"/>
    </row>
    <row r="97" spans="9:18">
      <c r="I97"/>
      <c r="J97"/>
      <c r="K97"/>
      <c r="L97"/>
      <c r="M97"/>
      <c r="N97"/>
      <c r="O97"/>
      <c r="P97"/>
      <c r="Q97"/>
      <c r="R97"/>
    </row>
    <row r="98" spans="9:18">
      <c r="I98"/>
      <c r="J98"/>
      <c r="K98"/>
      <c r="L98"/>
      <c r="M98"/>
      <c r="N98"/>
      <c r="O98"/>
      <c r="P98"/>
      <c r="Q98"/>
      <c r="R98"/>
    </row>
    <row r="99" spans="9:18">
      <c r="I99"/>
      <c r="J99"/>
      <c r="K99"/>
      <c r="L99"/>
      <c r="M99"/>
      <c r="N99"/>
      <c r="O99"/>
      <c r="P99"/>
      <c r="Q99"/>
      <c r="R99"/>
    </row>
    <row r="100" spans="9:18">
      <c r="I100"/>
      <c r="J100"/>
      <c r="K100"/>
      <c r="L100"/>
      <c r="M100"/>
      <c r="N100"/>
      <c r="O100"/>
      <c r="P100"/>
      <c r="Q100"/>
      <c r="R100"/>
    </row>
    <row r="101" spans="9:18">
      <c r="I101"/>
      <c r="J101"/>
      <c r="K101"/>
      <c r="L101"/>
      <c r="M101"/>
      <c r="N101"/>
      <c r="O101"/>
      <c r="P101"/>
      <c r="Q101"/>
      <c r="R101"/>
    </row>
    <row r="102" spans="9:18">
      <c r="I102"/>
      <c r="J102"/>
      <c r="K102"/>
      <c r="L102"/>
      <c r="M102"/>
      <c r="N102"/>
      <c r="O102"/>
      <c r="P102"/>
      <c r="Q102"/>
      <c r="R102"/>
    </row>
    <row r="103" spans="9:18">
      <c r="I103"/>
      <c r="J103"/>
      <c r="K103"/>
      <c r="L103"/>
      <c r="M103"/>
      <c r="N103"/>
      <c r="O103"/>
      <c r="P103"/>
      <c r="Q103"/>
      <c r="R103"/>
    </row>
    <row r="104" spans="9:18">
      <c r="I104"/>
      <c r="J104"/>
      <c r="K104"/>
      <c r="L104"/>
      <c r="M104"/>
      <c r="N104"/>
      <c r="O104"/>
      <c r="P104"/>
      <c r="Q104"/>
      <c r="R104"/>
    </row>
    <row r="105" spans="9:18">
      <c r="I105"/>
      <c r="J105"/>
      <c r="K105"/>
      <c r="L105"/>
      <c r="M105"/>
      <c r="N105"/>
      <c r="O105"/>
      <c r="P105"/>
      <c r="Q105"/>
      <c r="R105"/>
    </row>
    <row r="106" spans="9:18">
      <c r="I106"/>
      <c r="J106"/>
      <c r="K106"/>
      <c r="L106"/>
      <c r="M106"/>
      <c r="N106"/>
      <c r="O106"/>
      <c r="P106"/>
      <c r="Q106"/>
      <c r="R106"/>
    </row>
    <row r="107" spans="9:18">
      <c r="I107"/>
      <c r="J107"/>
      <c r="K107"/>
      <c r="L107"/>
      <c r="M107"/>
      <c r="N107"/>
      <c r="O107"/>
      <c r="P107"/>
      <c r="Q107"/>
      <c r="R107"/>
    </row>
    <row r="108" spans="9:18">
      <c r="I108"/>
      <c r="J108"/>
      <c r="K108"/>
      <c r="L108"/>
      <c r="M108"/>
      <c r="N108"/>
      <c r="O108"/>
      <c r="P108"/>
      <c r="Q108"/>
      <c r="R108"/>
    </row>
    <row r="109" spans="9:18">
      <c r="I109"/>
      <c r="J109"/>
      <c r="K109"/>
      <c r="L109"/>
      <c r="M109"/>
      <c r="N109"/>
      <c r="O109"/>
      <c r="P109"/>
      <c r="Q109"/>
      <c r="R109"/>
    </row>
    <row r="110" spans="9:18">
      <c r="I110"/>
      <c r="J110"/>
      <c r="K110"/>
      <c r="L110"/>
      <c r="M110"/>
      <c r="N110"/>
      <c r="O110"/>
      <c r="P110"/>
      <c r="Q110"/>
      <c r="R110"/>
    </row>
    <row r="111" spans="9:18">
      <c r="I111"/>
      <c r="J111"/>
      <c r="K111"/>
      <c r="L111"/>
      <c r="M111"/>
      <c r="N111"/>
      <c r="O111"/>
      <c r="P111"/>
      <c r="Q111"/>
      <c r="R111"/>
    </row>
    <row r="112" spans="9:18">
      <c r="I112"/>
      <c r="J112"/>
      <c r="K112"/>
      <c r="L112"/>
      <c r="M112"/>
      <c r="N112"/>
      <c r="O112"/>
      <c r="P112"/>
      <c r="Q112"/>
      <c r="R112"/>
    </row>
    <row r="113" spans="9:18">
      <c r="I113"/>
      <c r="J113"/>
      <c r="K113"/>
      <c r="L113"/>
      <c r="M113"/>
      <c r="N113"/>
      <c r="O113"/>
      <c r="P113"/>
      <c r="Q113"/>
      <c r="R113"/>
    </row>
    <row r="114" spans="9:18">
      <c r="I114"/>
      <c r="J114"/>
      <c r="K114"/>
      <c r="L114"/>
      <c r="M114"/>
      <c r="N114"/>
      <c r="O114"/>
      <c r="P114"/>
      <c r="Q114"/>
      <c r="R114"/>
    </row>
    <row r="115" spans="9:18">
      <c r="I115"/>
      <c r="J115"/>
      <c r="K115"/>
      <c r="L115"/>
      <c r="M115"/>
      <c r="N115"/>
      <c r="O115"/>
      <c r="P115"/>
      <c r="Q115"/>
      <c r="R115"/>
    </row>
    <row r="116" spans="9:18">
      <c r="I116"/>
      <c r="J116"/>
      <c r="K116"/>
      <c r="L116"/>
      <c r="M116"/>
      <c r="N116"/>
      <c r="O116"/>
      <c r="P116"/>
      <c r="Q116"/>
      <c r="R116"/>
    </row>
    <row r="117" spans="9:18">
      <c r="I117"/>
      <c r="J117"/>
      <c r="K117"/>
      <c r="L117"/>
      <c r="M117"/>
      <c r="N117"/>
      <c r="O117"/>
      <c r="P117"/>
      <c r="Q117"/>
      <c r="R117"/>
    </row>
    <row r="118" spans="9:18">
      <c r="I118"/>
      <c r="J118"/>
      <c r="K118"/>
      <c r="L118"/>
      <c r="M118"/>
      <c r="N118"/>
      <c r="O118"/>
      <c r="P118"/>
      <c r="Q118"/>
      <c r="R118"/>
    </row>
    <row r="119" spans="9:18">
      <c r="I119"/>
      <c r="J119"/>
      <c r="K119"/>
      <c r="L119"/>
      <c r="M119"/>
      <c r="N119"/>
      <c r="O119"/>
      <c r="P119"/>
      <c r="Q119"/>
      <c r="R119"/>
    </row>
    <row r="120" spans="9:18">
      <c r="I120"/>
      <c r="J120"/>
      <c r="K120"/>
      <c r="L120"/>
      <c r="M120"/>
      <c r="N120"/>
      <c r="O120"/>
      <c r="P120"/>
      <c r="Q120"/>
      <c r="R120"/>
    </row>
    <row r="121" spans="9:18">
      <c r="I121"/>
      <c r="J121"/>
      <c r="K121"/>
      <c r="L121"/>
      <c r="M121"/>
      <c r="N121"/>
      <c r="O121"/>
      <c r="P121"/>
      <c r="Q121"/>
      <c r="R121"/>
    </row>
    <row r="122" spans="9:18">
      <c r="I122"/>
      <c r="J122"/>
      <c r="K122"/>
      <c r="L122"/>
      <c r="M122"/>
      <c r="N122"/>
      <c r="O122"/>
      <c r="P122"/>
      <c r="Q122"/>
      <c r="R122"/>
    </row>
    <row r="123" spans="9:18">
      <c r="I123"/>
      <c r="J123"/>
      <c r="K123"/>
      <c r="L123"/>
      <c r="M123"/>
      <c r="N123"/>
      <c r="O123"/>
      <c r="P123"/>
      <c r="Q123"/>
      <c r="R123"/>
    </row>
    <row r="124" spans="9:18">
      <c r="I124"/>
      <c r="J124"/>
      <c r="K124"/>
      <c r="L124"/>
      <c r="M124"/>
      <c r="N124"/>
      <c r="O124"/>
      <c r="P124"/>
      <c r="Q124"/>
      <c r="R124"/>
    </row>
    <row r="125" spans="9:18">
      <c r="I125"/>
      <c r="J125"/>
      <c r="K125"/>
      <c r="L125"/>
      <c r="M125"/>
      <c r="N125"/>
      <c r="O125"/>
      <c r="P125"/>
      <c r="Q125"/>
      <c r="R125"/>
    </row>
    <row r="126" spans="9:18">
      <c r="I126"/>
      <c r="J126"/>
      <c r="K126"/>
      <c r="L126"/>
      <c r="M126"/>
      <c r="N126"/>
      <c r="O126"/>
      <c r="P126"/>
      <c r="Q126"/>
      <c r="R126"/>
    </row>
    <row r="127" spans="9:18">
      <c r="I127"/>
      <c r="J127"/>
      <c r="K127"/>
      <c r="L127"/>
      <c r="M127"/>
      <c r="N127"/>
      <c r="O127"/>
      <c r="P127"/>
      <c r="Q127"/>
      <c r="R127"/>
    </row>
    <row r="128" spans="9:18">
      <c r="I128"/>
      <c r="J128"/>
      <c r="K128"/>
      <c r="L128"/>
      <c r="M128"/>
      <c r="N128"/>
      <c r="O128"/>
      <c r="P128"/>
      <c r="Q128"/>
      <c r="R128"/>
    </row>
    <row r="129" spans="9:18">
      <c r="I129"/>
      <c r="J129"/>
      <c r="K129"/>
      <c r="L129"/>
      <c r="M129"/>
      <c r="N129"/>
      <c r="O129"/>
      <c r="P129"/>
      <c r="Q129"/>
      <c r="R129"/>
    </row>
    <row r="130" spans="9:18">
      <c r="I130"/>
      <c r="J130"/>
      <c r="K130"/>
      <c r="L130"/>
      <c r="M130"/>
      <c r="N130"/>
      <c r="O130"/>
      <c r="P130"/>
      <c r="Q130"/>
      <c r="R130"/>
    </row>
    <row r="131" spans="9:18">
      <c r="I131"/>
      <c r="J131"/>
      <c r="K131"/>
      <c r="L131"/>
      <c r="M131"/>
      <c r="N131"/>
      <c r="O131"/>
      <c r="P131"/>
      <c r="Q131"/>
      <c r="R131"/>
    </row>
    <row r="132" spans="9:18">
      <c r="I132"/>
      <c r="J132"/>
      <c r="K132"/>
      <c r="L132"/>
      <c r="M132"/>
      <c r="N132"/>
      <c r="O132"/>
      <c r="P132"/>
      <c r="Q132"/>
      <c r="R132"/>
    </row>
    <row r="133" spans="9:18">
      <c r="I133"/>
      <c r="J133"/>
      <c r="K133"/>
      <c r="L133"/>
      <c r="M133"/>
      <c r="N133"/>
      <c r="O133"/>
      <c r="P133"/>
      <c r="Q133"/>
      <c r="R133"/>
    </row>
    <row r="134" spans="9:18">
      <c r="I134"/>
      <c r="J134"/>
      <c r="K134"/>
      <c r="L134"/>
      <c r="M134"/>
      <c r="N134"/>
      <c r="O134"/>
      <c r="P134"/>
      <c r="Q134"/>
      <c r="R134"/>
    </row>
    <row r="135" spans="9:18">
      <c r="I135"/>
      <c r="J135"/>
      <c r="K135"/>
      <c r="L135"/>
      <c r="M135"/>
      <c r="N135"/>
      <c r="O135"/>
      <c r="P135"/>
      <c r="Q135"/>
      <c r="R135"/>
    </row>
    <row r="136" spans="9:18">
      <c r="I136"/>
      <c r="J136"/>
      <c r="K136"/>
      <c r="L136"/>
      <c r="M136"/>
      <c r="N136"/>
      <c r="O136"/>
      <c r="P136"/>
      <c r="Q136"/>
      <c r="R136"/>
    </row>
    <row r="137" spans="9:18">
      <c r="I137"/>
      <c r="J137"/>
      <c r="K137"/>
      <c r="L137"/>
      <c r="M137"/>
      <c r="N137"/>
      <c r="O137"/>
      <c r="P137"/>
      <c r="Q137"/>
      <c r="R137"/>
    </row>
    <row r="138" spans="9:18">
      <c r="I138"/>
      <c r="J138"/>
      <c r="K138"/>
      <c r="L138"/>
      <c r="M138"/>
      <c r="N138"/>
      <c r="O138"/>
      <c r="P138"/>
      <c r="Q138"/>
      <c r="R138"/>
    </row>
  </sheetData>
  <mergeCells count="5"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2019-03-13T04:53:14Z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