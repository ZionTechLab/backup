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00" windowHeight="12585" tabRatio="474" activeTab="1"/>
  </bookViews>
  <sheets>
    <sheet name="Raw_Data" sheetId="1" r:id="rId1"/>
    <sheet name="SalesReportSummary" sheetId="4" r:id="rId2"/>
  </sheets>
  <calcPr calcId="144525"/>
  <pivotCaches>
    <pivotCache cacheId="0" r:id="rId3"/>
  </pivotCaches>
</workbook>
</file>

<file path=xl/sharedStrings.xml><?xml version="1.0" encoding="utf-8"?>
<sst xmlns="http://schemas.openxmlformats.org/spreadsheetml/2006/main" count="82">
  <si>
    <t>SalesRep</t>
  </si>
  <si>
    <t>Branch</t>
  </si>
  <si>
    <t>CustomerClass</t>
  </si>
  <si>
    <t>CustomerType</t>
  </si>
  <si>
    <t>CustomerCategory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</si>
  <si>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</si>
  <si>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</si>
  <si>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</si>
  <si>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</si>
  <si>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</si>
  <si>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</si>
  <si>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</si>
  <si>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</si>
  <si>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</si>
  <si>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</si>
  <si>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</si>
  <si>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</si>
  <si>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TotalQty</t>
  </si>
  <si>
    <t>-</t>
  </si>
  <si>
    <t>FACTORY - SEEDUWA</t>
  </si>
  <si>
    <t>KAMAL</t>
  </si>
  <si>
    <t>FOREIGN</t>
  </si>
  <si>
    <t>EXPORT</t>
  </si>
  <si>
    <t>SIRAJUDEEN</t>
  </si>
  <si>
    <t>CHATHURANGA</t>
  </si>
  <si>
    <t>LOCAL</t>
  </si>
  <si>
    <t>ARPICO</t>
  </si>
  <si>
    <t>DEALER NETWORK</t>
  </si>
  <si>
    <t>DULIP</t>
  </si>
  <si>
    <t>SHOWROOM - SEEDUWA</t>
  </si>
  <si>
    <t>HOSPITAL</t>
  </si>
  <si>
    <t>COLOMBO</t>
  </si>
  <si>
    <t>SHOWROOM - CRESCAT</t>
  </si>
  <si>
    <t>SHOWROOM - NAWALA</t>
  </si>
  <si>
    <t>PRABHATH</t>
  </si>
  <si>
    <t>DOWN SOUTH</t>
  </si>
  <si>
    <t>SHOWROOM - GALLE</t>
  </si>
  <si>
    <t>HOTELS</t>
  </si>
  <si>
    <t>GENERAL</t>
  </si>
  <si>
    <t>SHOWROOM - NEGOMBO</t>
  </si>
  <si>
    <t/>
  </si>
  <si>
    <t>CELCIUS SOLUTIONS (PVT) LTD</t>
  </si>
  <si>
    <t>NO. 616, NEGOMBO ROAD, LIYANAGEMULLA, SEEDUWA, SRI LANKA.</t>
  </si>
  <si>
    <t>Tel : +94 114 858 859 FAX : +94 114 741 861</t>
  </si>
  <si>
    <t>Sales Summary</t>
  </si>
  <si>
    <t>From : 1/1/2019 - To :3/4/2019</t>
  </si>
  <si>
    <t>BRANCH</t>
  </si>
  <si>
    <t>SALES REP</t>
  </si>
  <si>
    <t>CUSTOMER TYPE</t>
  </si>
  <si>
    <t>CUSTOMER CATEGORY</t>
  </si>
  <si>
    <t>SALES APRIL</t>
  </si>
  <si>
    <t>SALES MAY</t>
  </si>
  <si>
    <t>SALES JUNE</t>
  </si>
  <si>
    <t>SALES JULY</t>
  </si>
  <si>
    <t>SALES AUGUST</t>
  </si>
  <si>
    <t>SALES SEPTEMBER</t>
  </si>
  <si>
    <t>SALES OCTOBER</t>
  </si>
  <si>
    <t>SALES NOVEMBER</t>
  </si>
  <si>
    <t>SALES DECEMBER</t>
  </si>
  <si>
    <t>SALES JANUARY</t>
  </si>
  <si>
    <t>SALES FEBRUARY</t>
  </si>
  <si>
    <t>SALES MARCH</t>
  </si>
  <si>
    <t>TOTAL SALES</t>
  </si>
  <si>
    <t>NO OF PCS SOLD</t>
  </si>
  <si>
    <t>AVG PRICE</t>
  </si>
  <si>
    <t>- Total</t>
  </si>
  <si>
    <t>EXPORT Total</t>
  </si>
  <si>
    <t>KAMAL Total</t>
  </si>
  <si>
    <t>HOSPITAL Total</t>
  </si>
  <si>
    <t>PRABHATH Total</t>
  </si>
  <si>
    <t>ARPICO Total</t>
  </si>
  <si>
    <t>CHATHURANGA Total</t>
  </si>
  <si>
    <t>SIRAJUDEEN Total</t>
  </si>
  <si>
    <t>FACTORY - SEEDUWA Total</t>
  </si>
  <si>
    <t>HOTELS Total</t>
  </si>
  <si>
    <t>DULIP Total</t>
  </si>
  <si>
    <t>SHOWROOM - CRESCAT Total</t>
  </si>
  <si>
    <t>SHOWROOM - GALLE Total</t>
  </si>
  <si>
    <t>SHOWROOM - NAWALA Total</t>
  </si>
  <si>
    <t>SHOWROOM - NEGOMBO Total</t>
  </si>
  <si>
    <t>SHOWROOM - SEEDUWA Total</t>
  </si>
  <si>
    <t>Grand Total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</si>
</sst>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178" formatCode="dd\-mmm\-yyyy"/>
    <numFmt numFmtId="44" formatCode="_(&quot;$&quot;* #,##0.00_);_(&quot;$&quot;* \(#,##0.00\);_(&quot;$&quot;* &quot;-&quot;??_);_(@_)"/>
  </numFmts>
  <fonts count="24">
    <font>
      <sz val="11"/>
      <name val="Calibri"/>
      <charset val="134"/>
    </font>
    <font>
      <b/>
      <sz val="18"/>
      <name val="Calibri"/>
      <charset val="134"/>
    </font>
    <font>
      <b/>
      <sz val="11"/>
      <name val="Calibri"/>
      <charset val="134"/>
    </font>
    <font>
      <b/>
      <sz val="14"/>
      <name val="Calibri"/>
      <charset val="134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rgb="FF2B579A"/>
      <name val="Calibri"/>
      <charset val="134"/>
    </font>
    <font>
      <b/>
      <sz val="11"/>
      <color rgb="FF3F3F3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sz val="11"/>
      <color rgb="FF3F3F76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6500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sz val="11"/>
      <color rgb="FF9C0006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A7D0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medium">
        <color rgb="FF2B579A"/>
      </right>
      <top/>
      <bottom style="medium">
        <color rgb="FF2B579A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1">
    <xf numFmtId="0" fontId="0" fillId="0" borderId="0"/>
    <xf numFmtId="0" fontId="5" fillId="4" borderId="0">
      <alignment vertical="center"/>
    </xf>
    <xf numFmtId="176" fontId="5" fillId="0" borderId="0">
      <alignment vertical="center"/>
    </xf>
    <xf numFmtId="177" fontId="5" fillId="0" borderId="0">
      <alignment vertical="center"/>
    </xf>
    <xf numFmtId="42" fontId="5" fillId="0" borderId="0">
      <alignment vertical="center"/>
    </xf>
    <xf numFmtId="44" fontId="5" fillId="0" borderId="0">
      <alignment vertical="center"/>
    </xf>
    <xf numFmtId="9" fontId="5" fillId="0" borderId="0">
      <alignment vertical="center"/>
    </xf>
    <xf numFmtId="0" fontId="12" fillId="7" borderId="4">
      <alignment horizontal="center" vertical="center"/>
    </xf>
    <xf numFmtId="0" fontId="11" fillId="3" borderId="3">
      <alignment vertical="center"/>
    </xf>
    <xf numFmtId="0" fontId="9" fillId="0" borderId="1">
      <alignment vertical="center"/>
    </xf>
    <xf numFmtId="0" fontId="5" fillId="9" borderId="6">
      <alignment vertical="center"/>
    </xf>
    <xf numFmtId="0" fontId="15" fillId="0" borderId="0">
      <alignment vertical="center"/>
    </xf>
    <xf numFmtId="0" fontId="10" fillId="12" borderId="0">
      <alignment vertical="center"/>
    </xf>
    <xf numFmtId="0" fontId="14" fillId="0" borderId="0">
      <alignment vertical="center"/>
    </xf>
    <xf numFmtId="0" fontId="5" fillId="14" borderId="0">
      <alignment vertical="center"/>
    </xf>
    <xf numFmtId="0" fontId="17" fillId="0" borderId="0">
      <alignment vertical="center"/>
    </xf>
    <xf numFmtId="0" fontId="5" fillId="16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4" fillId="0" borderId="1">
      <alignment vertical="center"/>
    </xf>
    <xf numFmtId="0" fontId="8" fillId="0" borderId="2">
      <alignment vertical="center"/>
    </xf>
    <xf numFmtId="0" fontId="8" fillId="0" borderId="0">
      <alignment vertical="center"/>
    </xf>
    <xf numFmtId="0" fontId="16" fillId="15" borderId="7">
      <alignment vertical="center"/>
    </xf>
    <xf numFmtId="0" fontId="10" fillId="18" borderId="0">
      <alignment vertical="center"/>
    </xf>
    <xf numFmtId="0" fontId="18" fillId="20" borderId="0">
      <alignment vertical="center"/>
    </xf>
    <xf numFmtId="0" fontId="13" fillId="8" borderId="5">
      <alignment vertical="center"/>
    </xf>
    <xf numFmtId="0" fontId="5" fillId="19" borderId="0">
      <alignment vertical="center"/>
    </xf>
    <xf numFmtId="0" fontId="20" fillId="8" borderId="7">
      <alignment vertical="center"/>
    </xf>
    <xf numFmtId="0" fontId="23" fillId="0" borderId="9">
      <alignment vertical="center"/>
    </xf>
    <xf numFmtId="0" fontId="22" fillId="0" borderId="8">
      <alignment vertical="center"/>
    </xf>
    <xf numFmtId="0" fontId="21" fillId="22" borderId="0">
      <alignment vertical="center"/>
    </xf>
    <xf numFmtId="0" fontId="19" fillId="21" borderId="0">
      <alignment vertical="center"/>
    </xf>
    <xf numFmtId="0" fontId="10" fillId="2" borderId="0">
      <alignment vertical="center"/>
    </xf>
    <xf numFmtId="0" fontId="5" fillId="25" borderId="0">
      <alignment vertical="center"/>
    </xf>
    <xf numFmtId="0" fontId="10" fillId="26" borderId="0">
      <alignment vertical="center"/>
    </xf>
    <xf numFmtId="0" fontId="10" fillId="27" borderId="0">
      <alignment vertical="center"/>
    </xf>
    <xf numFmtId="0" fontId="5" fillId="28" borderId="0">
      <alignment vertical="center"/>
    </xf>
    <xf numFmtId="0" fontId="5" fillId="11" borderId="0">
      <alignment vertical="center"/>
    </xf>
    <xf numFmtId="0" fontId="10" fillId="29" borderId="0">
      <alignment vertical="center"/>
    </xf>
    <xf numFmtId="0" fontId="10" fillId="24" borderId="0">
      <alignment vertical="center"/>
    </xf>
    <xf numFmtId="0" fontId="5" fillId="30" borderId="0">
      <alignment vertical="center"/>
    </xf>
    <xf numFmtId="0" fontId="10" fillId="10" borderId="0">
      <alignment vertical="center"/>
    </xf>
    <xf numFmtId="0" fontId="5" fillId="32" borderId="0">
      <alignment vertical="center"/>
    </xf>
    <xf numFmtId="0" fontId="5" fillId="17" borderId="0">
      <alignment vertical="center"/>
    </xf>
    <xf numFmtId="0" fontId="10" fillId="13" borderId="0">
      <alignment vertical="center"/>
    </xf>
    <xf numFmtId="0" fontId="5" fillId="33" borderId="0">
      <alignment vertical="center"/>
    </xf>
    <xf numFmtId="0" fontId="10" fillId="31" borderId="0">
      <alignment vertical="center"/>
    </xf>
    <xf numFmtId="0" fontId="10" fillId="23" borderId="0">
      <alignment vertical="center"/>
    </xf>
    <xf numFmtId="0" fontId="5" fillId="6" borderId="0">
      <alignment vertical="center"/>
    </xf>
    <xf numFmtId="0" fontId="10" fillId="5" borderId="0">
      <alignment vertical="center"/>
    </xf>
    <xf numFmtId="0" fontId="0" fillId="0" borderId="0"/>
  </cellStyleXfs>
  <cellXfs count="10">
    <xf numFmtId="0" fontId="0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left"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left" vertical="center"/>
    </xf>
    <xf numFmtId="0" fontId="0" fillId="0" borderId="0" xfId="0" applyNumberFormat="1" applyFont="1" applyFill="1" applyBorder="1" applyAlignment="1">
      <alignment horizontal="center"/>
    </xf>
    <xf numFmtId="39" fontId="0" fillId="0" borderId="0" xfId="0" applyNumberFormat="1" applyFont="1" applyFill="1" applyBorder="1"/>
    <xf numFmtId="178" fontId="0" fillId="0" borderId="0" xfId="0" applyNumberFormat="1" applyFont="1" applyFill="1" applyBorder="1"/>
    <xf numFmtId="4" fontId="0" fillId="0" borderId="0" xfId="0" applyNumberFormat="1" applyFont="1" applyFill="1" applyBorder="1"/>
  </cellXfs>
  <cellStyles count="51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eaderStyle" xfId="7"/>
    <cellStyle name="Check Cell" xfId="8" builtinId="23"/>
    <cellStyle name="Heading 2" xfId="9" builtinId="17"/>
    <cellStyle name="Note" xfId="10" builtinId="10"/>
    <cellStyle name="Hyperlink" xfId="11" builtinId="8"/>
    <cellStyle name="60% - Accent4" xfId="12" builtinId="44"/>
    <cellStyle name="Followed Hyperlink" xfId="13" builtinId="9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  <cellStyle name="ConditionalFormatStyle" xfId="50"/>
  </cellStyles>
  <dxfs count="58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/>
    <dxf/>
    <dxf/>
    <dxf/>
    <dxf/>
    <dxf/>
    <dxf>
      <alignment horizontal="center"/>
    </dxf>
    <dxf>
      <alignment horizontal="center"/>
    </dxf>
    <dxf>
      <alignment horizontal="center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numFmt numFmtId="179" formatCode="m/d/yyyy;@"/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149998474074526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249977111117893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349986266670736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149998474074526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249977111117893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349986266670736"/>
        </patternFill>
      </fill>
    </dxf>
    <dxf>
      <font>
        <name val="Calibri"/>
        <scheme val="none"/>
        <b val="1"/>
        <i val="0"/>
        <strike val="0"/>
        <u val="double"/>
        <sz val="11"/>
        <color theme="1"/>
      </font>
      <fill>
        <patternFill patternType="solid">
          <bgColor theme="1" tint="0.499984740745262"/>
        </patternFill>
      </fill>
    </dxf>
    <dxf>
      <font>
        <name val="Calibri"/>
        <scheme val="none"/>
        <b val="1"/>
        <i val="0"/>
        <u val="none"/>
        <sz val="11"/>
        <color theme="1"/>
      </font>
      <fill>
        <patternFill patternType="solid">
          <bgColor theme="1" tint="0.499984740745262"/>
        </patternFill>
      </fill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fill>
        <patternFill patternType="solid">
          <bgColor theme="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</dxfs>
  <tableStyles count="1" defaultTableStyle="TableStyleMedium2" defaultPivotStyle="PivotTable Style 2">
    <tableStyle name="PivotTable Style 2" table="0" count="10">
      <tableStyleElement type="wholeTable" dxfId="57"/>
      <tableStyleElement type="headerRow" dxfId="56"/>
      <tableStyleElement type="totalRow" dxfId="55"/>
      <tableStyleElement type="lastColumn" dxfId="54"/>
      <tableStyleElement type="firstSubtotalColumn" dxfId="53"/>
      <tableStyleElement type="secondSubtotalColumn" dxfId="52"/>
      <tableStyleElement type="thirdSubtotalColumn" dxfId="51"/>
      <tableStyleElement type="firstSubtotalRow" dxfId="50"/>
      <tableStyleElement type="secondSubtotalRow" dxfId="49"/>
      <tableStyleElement type="thirdSubtotalRow" dxfId="4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5" refreshedVersion="5" minRefreshableVersion="3" refreshedDate="43600.5779861111" refreshedBy="pdeng3" recordCount="25">
  <cacheSource type="worksheet">
    <worksheetSource name="Table1"/>
  </cacheSource>
  <cacheFields count="20">
    <cacheField name="SalesRep" numFmtId="0">
      <sharedItems containsBlank="1" count="8">
        <s v="-"/>
        <s v="KAMAL"/>
        <s v="SIRAJUDEEN"/>
        <s v="CHATHURANGA"/>
        <s v="DULIP"/>
        <s v="PRABHATH"/>
        <m/>
        <s v="PREMALI" u="1"/>
      </sharedItems>
    </cacheField>
    <cacheField name="Branch" numFmtId="0">
      <sharedItems containsBlank="1" count="7">
        <s v="FACTORY - SEEDUWA"/>
        <s v="SHOWROOM - SEEDUWA"/>
        <s v="SHOWROOM - CRESCAT"/>
        <s v="SHOWROOM - NAWALA"/>
        <s v="SHOWROOM - GALLE"/>
        <s v="SHOWROOM - NEGOMBO"/>
        <m/>
      </sharedItems>
    </cacheField>
    <cacheField name="CustomerClass" numFmtId="0">
      <sharedItems containsBlank="1" count="4">
        <s v="-"/>
        <s v="FOREIGN"/>
        <s v="LOCAL"/>
        <m/>
      </sharedItems>
    </cacheField>
    <cacheField name="CustomerType" numFmtId="0">
      <sharedItems containsBlank="1" count="6">
        <s v="-"/>
        <s v="EXPORT"/>
        <s v="ARPICO"/>
        <s v="HOSPITAL"/>
        <s v="HOTELS"/>
        <m/>
      </sharedItems>
    </cacheField>
    <cacheField name="CustomerCategory" numFmtId="0">
      <sharedItems containsBlank="1" count="8">
        <s v="-"/>
        <s v="EXPORT"/>
        <s v="DEALER NETWORK"/>
        <s v="COLOMBO"/>
        <s v="DOWN SOUTH"/>
        <s v="GENERAL"/>
        <m/>
        <s v="NORTH CENTRAL" u="1"/>
      </sharedItems>
    </cacheField>
    <cacheField name="April" numFmtId="0">
      <sharedItems containsString="0" containsBlank="1" containsNumber="1" minValue="0" maxValue="468827.04" count="3">
        <n v="0"/>
        <n v="468827.04"/>
        <m/>
      </sharedItems>
    </cacheField>
    <cacheField name="May" numFmtId="0">
      <sharedItems containsString="0" containsBlank="1" containsNumber="1" containsInteger="1" minValue="0" maxValue="0" count="2">
        <n v="0"/>
        <m/>
      </sharedItems>
    </cacheField>
    <cacheField name="June" numFmtId="0">
      <sharedItems containsString="0" containsBlank="1" containsNumber="1" minValue="0" maxValue="1317593.08" count="3">
        <n v="0"/>
        <n v="1317593.08"/>
        <m/>
      </sharedItems>
    </cacheField>
    <cacheField name="July" numFmtId="0">
      <sharedItems containsString="0" containsBlank="1" containsNumber="1" minValue="0" maxValue="1490327.49" count="6">
        <n v="0"/>
        <n v="241573.25"/>
        <n v="1490327.49"/>
        <n v="141090.38"/>
        <n v="552793.62"/>
        <m/>
      </sharedItems>
    </cacheField>
    <cacheField name="August" numFmtId="0">
      <sharedItems containsString="0" containsBlank="1" containsNumber="1" minValue="0" maxValue="106022.11" count="5">
        <n v="0"/>
        <n v="17560.03"/>
        <n v="82398.5"/>
        <n v="106022.11"/>
        <m/>
      </sharedItems>
    </cacheField>
    <cacheField name="September" numFmtId="0">
      <sharedItems containsString="0" containsBlank="1" containsNumber="1" minValue="0" maxValue="2473335.97" count="7">
        <n v="0"/>
        <n v="355633.766809265"/>
        <n v="2473335.97"/>
        <n v="91218.61"/>
        <n v="974670.81"/>
        <n v="107915.68"/>
        <m/>
      </sharedItems>
    </cacheField>
    <cacheField name="October" numFmtId="0">
      <sharedItems containsString="0" containsBlank="1" containsNumber="1" minValue="0" maxValue="1467348.23" count="5">
        <n v="0"/>
        <n v="250795.73"/>
        <n v="1467348.23"/>
        <n v="132758.12"/>
        <m/>
      </sharedItems>
    </cacheField>
    <cacheField name="November" numFmtId="0">
      <sharedItems containsString="0" containsBlank="1" containsNumber="1" minValue="0" maxValue="144664.4" count="5">
        <n v="0"/>
        <n v="63817.25"/>
        <n v="144664.4"/>
        <n v="27657.94"/>
        <m/>
      </sharedItems>
    </cacheField>
    <cacheField name="December" numFmtId="0">
      <sharedItems containsString="0" containsBlank="1" containsNumber="1" containsInteger="1" minValue="0" maxValue="0" count="2">
        <n v="0"/>
        <m/>
      </sharedItems>
    </cacheField>
    <cacheField name="January" numFmtId="0">
      <sharedItems containsString="0" containsBlank="1" containsNumber="1" containsInteger="1" minValue="0" maxValue="0" count="2">
        <n v="0"/>
        <m/>
      </sharedItems>
    </cacheField>
    <cacheField name="February" numFmtId="0">
      <sharedItems containsString="0" containsBlank="1" containsNumber="1" minValue="0" maxValue="125386.72" count="3">
        <n v="0"/>
        <n v="125386.72"/>
        <m/>
      </sharedItems>
    </cacheField>
    <cacheField name="March" numFmtId="0">
      <sharedItems containsString="0" containsBlank="1" containsNumber="1" minValue="0" maxValue="771668.14" count="3">
        <n v="0"/>
        <n v="771668.14"/>
        <m/>
      </sharedItems>
    </cacheField>
    <cacheField name="TotalQty" numFmtId="0">
      <sharedItems containsString="0" containsBlank="1" containsNumber="1" containsInteger="1" minValue="0" maxValue="1368" count="12">
        <n v="0"/>
        <n v="215"/>
        <n v="96"/>
        <n v="461"/>
        <n v="107"/>
        <n v="1059"/>
        <n v="1368"/>
        <n v="146"/>
        <n v="91"/>
        <n v="72"/>
        <n v="15"/>
        <m/>
      </sharedItems>
    </cacheField>
    <cacheField name="NetSales" numFmtId="0" formula="April+May+June+July+August+September+October+November+December+January+February+March" databaseField="0"/>
    <cacheField name="AveragePrice" numFmtId="0" formula="IF(TotalQty=0,0,NetSales/TotalQty)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1"/>
    <x v="0"/>
    <x v="0"/>
    <x v="0"/>
    <x v="0"/>
    <x v="0"/>
    <x v="0"/>
    <x v="1"/>
  </r>
  <r>
    <x v="1"/>
    <x v="0"/>
    <x v="1"/>
    <x v="1"/>
    <x v="1"/>
    <x v="0"/>
    <x v="0"/>
    <x v="1"/>
    <x v="0"/>
    <x v="0"/>
    <x v="0"/>
    <x v="0"/>
    <x v="0"/>
    <x v="0"/>
    <x v="0"/>
    <x v="0"/>
    <x v="0"/>
    <x v="0"/>
  </r>
  <r>
    <x v="1"/>
    <x v="0"/>
    <x v="1"/>
    <x v="1"/>
    <x v="1"/>
    <x v="0"/>
    <x v="0"/>
    <x v="0"/>
    <x v="1"/>
    <x v="0"/>
    <x v="0"/>
    <x v="0"/>
    <x v="0"/>
    <x v="0"/>
    <x v="0"/>
    <x v="0"/>
    <x v="0"/>
    <x v="0"/>
  </r>
  <r>
    <x v="1"/>
    <x v="0"/>
    <x v="1"/>
    <x v="1"/>
    <x v="1"/>
    <x v="0"/>
    <x v="0"/>
    <x v="0"/>
    <x v="0"/>
    <x v="1"/>
    <x v="0"/>
    <x v="0"/>
    <x v="0"/>
    <x v="0"/>
    <x v="0"/>
    <x v="0"/>
    <x v="0"/>
    <x v="0"/>
  </r>
  <r>
    <x v="2"/>
    <x v="0"/>
    <x v="1"/>
    <x v="1"/>
    <x v="1"/>
    <x v="0"/>
    <x v="0"/>
    <x v="0"/>
    <x v="0"/>
    <x v="0"/>
    <x v="2"/>
    <x v="0"/>
    <x v="0"/>
    <x v="0"/>
    <x v="0"/>
    <x v="0"/>
    <x v="0"/>
    <x v="0"/>
  </r>
  <r>
    <x v="3"/>
    <x v="0"/>
    <x v="2"/>
    <x v="2"/>
    <x v="2"/>
    <x v="0"/>
    <x v="0"/>
    <x v="0"/>
    <x v="0"/>
    <x v="0"/>
    <x v="3"/>
    <x v="0"/>
    <x v="0"/>
    <x v="0"/>
    <x v="0"/>
    <x v="0"/>
    <x v="0"/>
    <x v="2"/>
  </r>
  <r>
    <x v="3"/>
    <x v="0"/>
    <x v="2"/>
    <x v="2"/>
    <x v="2"/>
    <x v="0"/>
    <x v="0"/>
    <x v="0"/>
    <x v="0"/>
    <x v="0"/>
    <x v="0"/>
    <x v="1"/>
    <x v="0"/>
    <x v="0"/>
    <x v="0"/>
    <x v="0"/>
    <x v="0"/>
    <x v="3"/>
  </r>
  <r>
    <x v="3"/>
    <x v="0"/>
    <x v="2"/>
    <x v="2"/>
    <x v="2"/>
    <x v="0"/>
    <x v="0"/>
    <x v="0"/>
    <x v="0"/>
    <x v="0"/>
    <x v="0"/>
    <x v="0"/>
    <x v="1"/>
    <x v="0"/>
    <x v="0"/>
    <x v="0"/>
    <x v="0"/>
    <x v="4"/>
  </r>
  <r>
    <x v="4"/>
    <x v="1"/>
    <x v="2"/>
    <x v="3"/>
    <x v="3"/>
    <x v="0"/>
    <x v="0"/>
    <x v="0"/>
    <x v="2"/>
    <x v="0"/>
    <x v="0"/>
    <x v="0"/>
    <x v="0"/>
    <x v="0"/>
    <x v="0"/>
    <x v="0"/>
    <x v="0"/>
    <x v="0"/>
  </r>
  <r>
    <x v="4"/>
    <x v="2"/>
    <x v="2"/>
    <x v="3"/>
    <x v="3"/>
    <x v="0"/>
    <x v="0"/>
    <x v="0"/>
    <x v="0"/>
    <x v="2"/>
    <x v="0"/>
    <x v="0"/>
    <x v="0"/>
    <x v="0"/>
    <x v="0"/>
    <x v="0"/>
    <x v="0"/>
    <x v="0"/>
  </r>
  <r>
    <x v="4"/>
    <x v="3"/>
    <x v="2"/>
    <x v="3"/>
    <x v="3"/>
    <x v="0"/>
    <x v="0"/>
    <x v="0"/>
    <x v="0"/>
    <x v="0"/>
    <x v="4"/>
    <x v="0"/>
    <x v="0"/>
    <x v="0"/>
    <x v="0"/>
    <x v="0"/>
    <x v="0"/>
    <x v="5"/>
  </r>
  <r>
    <x v="4"/>
    <x v="3"/>
    <x v="2"/>
    <x v="3"/>
    <x v="3"/>
    <x v="0"/>
    <x v="0"/>
    <x v="0"/>
    <x v="0"/>
    <x v="0"/>
    <x v="0"/>
    <x v="2"/>
    <x v="0"/>
    <x v="0"/>
    <x v="0"/>
    <x v="0"/>
    <x v="0"/>
    <x v="6"/>
  </r>
  <r>
    <x v="4"/>
    <x v="3"/>
    <x v="2"/>
    <x v="3"/>
    <x v="3"/>
    <x v="0"/>
    <x v="0"/>
    <x v="0"/>
    <x v="0"/>
    <x v="0"/>
    <x v="0"/>
    <x v="0"/>
    <x v="2"/>
    <x v="0"/>
    <x v="0"/>
    <x v="0"/>
    <x v="0"/>
    <x v="7"/>
  </r>
  <r>
    <x v="5"/>
    <x v="3"/>
    <x v="2"/>
    <x v="3"/>
    <x v="4"/>
    <x v="0"/>
    <x v="0"/>
    <x v="0"/>
    <x v="3"/>
    <x v="0"/>
    <x v="0"/>
    <x v="0"/>
    <x v="0"/>
    <x v="0"/>
    <x v="0"/>
    <x v="0"/>
    <x v="0"/>
    <x v="0"/>
  </r>
  <r>
    <x v="5"/>
    <x v="3"/>
    <x v="2"/>
    <x v="3"/>
    <x v="4"/>
    <x v="0"/>
    <x v="0"/>
    <x v="0"/>
    <x v="0"/>
    <x v="3"/>
    <x v="0"/>
    <x v="0"/>
    <x v="0"/>
    <x v="0"/>
    <x v="0"/>
    <x v="0"/>
    <x v="0"/>
    <x v="0"/>
  </r>
  <r>
    <x v="5"/>
    <x v="3"/>
    <x v="2"/>
    <x v="3"/>
    <x v="4"/>
    <x v="0"/>
    <x v="0"/>
    <x v="0"/>
    <x v="0"/>
    <x v="0"/>
    <x v="5"/>
    <x v="0"/>
    <x v="0"/>
    <x v="0"/>
    <x v="0"/>
    <x v="0"/>
    <x v="0"/>
    <x v="8"/>
  </r>
  <r>
    <x v="5"/>
    <x v="2"/>
    <x v="2"/>
    <x v="3"/>
    <x v="4"/>
    <x v="0"/>
    <x v="0"/>
    <x v="0"/>
    <x v="0"/>
    <x v="0"/>
    <x v="0"/>
    <x v="3"/>
    <x v="0"/>
    <x v="0"/>
    <x v="0"/>
    <x v="0"/>
    <x v="0"/>
    <x v="9"/>
  </r>
  <r>
    <x v="5"/>
    <x v="0"/>
    <x v="2"/>
    <x v="3"/>
    <x v="4"/>
    <x v="0"/>
    <x v="0"/>
    <x v="0"/>
    <x v="0"/>
    <x v="0"/>
    <x v="0"/>
    <x v="0"/>
    <x v="3"/>
    <x v="0"/>
    <x v="0"/>
    <x v="0"/>
    <x v="0"/>
    <x v="10"/>
  </r>
  <r>
    <x v="0"/>
    <x v="4"/>
    <x v="2"/>
    <x v="4"/>
    <x v="5"/>
    <x v="0"/>
    <x v="0"/>
    <x v="0"/>
    <x v="4"/>
    <x v="0"/>
    <x v="0"/>
    <x v="0"/>
    <x v="0"/>
    <x v="0"/>
    <x v="0"/>
    <x v="0"/>
    <x v="0"/>
    <x v="0"/>
  </r>
  <r>
    <x v="0"/>
    <x v="3"/>
    <x v="2"/>
    <x v="4"/>
    <x v="5"/>
    <x v="0"/>
    <x v="0"/>
    <x v="0"/>
    <x v="0"/>
    <x v="0"/>
    <x v="0"/>
    <x v="0"/>
    <x v="0"/>
    <x v="0"/>
    <x v="0"/>
    <x v="1"/>
    <x v="0"/>
    <x v="0"/>
  </r>
  <r>
    <x v="0"/>
    <x v="2"/>
    <x v="2"/>
    <x v="4"/>
    <x v="5"/>
    <x v="0"/>
    <x v="0"/>
    <x v="0"/>
    <x v="0"/>
    <x v="0"/>
    <x v="0"/>
    <x v="0"/>
    <x v="0"/>
    <x v="0"/>
    <x v="0"/>
    <x v="0"/>
    <x v="1"/>
    <x v="0"/>
  </r>
  <r>
    <x v="0"/>
    <x v="5"/>
    <x v="2"/>
    <x v="4"/>
    <x v="5"/>
    <x v="1"/>
    <x v="0"/>
    <x v="0"/>
    <x v="0"/>
    <x v="0"/>
    <x v="0"/>
    <x v="0"/>
    <x v="0"/>
    <x v="0"/>
    <x v="0"/>
    <x v="0"/>
    <x v="0"/>
    <x v="0"/>
  </r>
  <r>
    <x v="6"/>
    <x v="6"/>
    <x v="3"/>
    <x v="5"/>
    <x v="6"/>
    <x v="2"/>
    <x v="1"/>
    <x v="2"/>
    <x v="5"/>
    <x v="4"/>
    <x v="6"/>
    <x v="4"/>
    <x v="4"/>
    <x v="1"/>
    <x v="1"/>
    <x v="2"/>
    <x v="2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4" useAutoFormatting="1" compact="0" indent="0" compactData="0" showDrill="1" multipleFieldFilters="0" rowHeaderCaption="BRANCH">
  <location ref="A8:S57" firstHeaderRow="0" firstDataRow="1" firstDataCol="4"/>
  <pivotFields count="20">
    <pivotField axis="axisRow" name="SALES REP" compact="0" outline="0" showAll="0">
      <items count="9">
        <item x="0"/>
        <item x="4"/>
        <item x="1"/>
        <item m="1" x="7"/>
        <item x="6"/>
        <item x="5"/>
        <item x="3"/>
        <item x="2"/>
        <item t="default"/>
      </items>
    </pivotField>
    <pivotField axis="axisRow" compact="0" outline="0" subtotalTop="0" showAll="0">
      <items count="8">
        <item x="0"/>
        <item x="2"/>
        <item x="4"/>
        <item x="3"/>
        <item x="5"/>
        <item x="1"/>
        <item x="6"/>
        <item t="default"/>
      </items>
    </pivotField>
    <pivotField name="CUSTOMER CLASS" compact="0" outline="0" showAll="0">
      <items count="5">
        <item x="0"/>
        <item x="1"/>
        <item x="2"/>
        <item x="3"/>
        <item t="default"/>
      </items>
    </pivotField>
    <pivotField axis="axisRow" name="CUSTOMER TYPE" outline="0" subtotalTop="0" multipleItemSelectionAllowed="1" showAll="0">
      <items count="7">
        <item x="0"/>
        <item x="2"/>
        <item x="3"/>
        <item x="4"/>
        <item x="5"/>
        <item x="1"/>
        <item t="default"/>
      </items>
    </pivotField>
    <pivotField axis="axisRow" name="CUSTOMER CATEGORY" compact="0" defaultSubtotal="0" outline="0" showAll="0">
      <items count="8">
        <item x="0"/>
        <item x="3"/>
        <item x="2"/>
        <item x="6"/>
        <item m="1" x="7"/>
        <item x="5"/>
        <item x="4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items count="4">
        <item x="0"/>
        <item x="1"/>
        <item x="2"/>
        <item t="default"/>
      </items>
    </pivotField>
    <pivotField dataField="1" compact="0" outline="0" subtotalTop="0" showAll="0">
      <items count="3">
        <item x="0"/>
        <item x="1"/>
        <item t="default"/>
      </items>
    </pivotField>
    <pivotField dataField="1" compact="0" outline="0" subtotalTop="0" showAll="0">
      <items count="4">
        <item x="0"/>
        <item x="1"/>
        <item x="2"/>
        <item t="default"/>
      </items>
    </pivotField>
    <pivotField dataField="1" compact="0" outline="0" subtotalTop="0" showAll="0">
      <items count="7">
        <item x="0"/>
        <item x="3"/>
        <item x="1"/>
        <item x="4"/>
        <item x="2"/>
        <item x="5"/>
        <item t="default"/>
      </items>
    </pivotField>
    <pivotField dataField="1" compact="0" outline="0" subtotalTop="0" showAll="0">
      <items count="6">
        <item x="0"/>
        <item x="1"/>
        <item x="2"/>
        <item x="3"/>
        <item x="4"/>
        <item t="default"/>
      </items>
    </pivotField>
    <pivotField dataField="1" compact="0" outline="0" subtotalTop="0" showAll="0">
      <items count="8">
        <item x="0"/>
        <item x="3"/>
        <item x="5"/>
        <item x="1"/>
        <item x="4"/>
        <item x="2"/>
        <item x="6"/>
        <item t="default"/>
      </items>
    </pivotField>
    <pivotField dataField="1" compact="0" outline="0" subtotalTop="0" showAll="0">
      <items count="6">
        <item x="0"/>
        <item x="3"/>
        <item x="1"/>
        <item x="2"/>
        <item x="4"/>
        <item t="default"/>
      </items>
    </pivotField>
    <pivotField dataField="1" compact="0" outline="0" subtotalTop="0" showAll="0">
      <items count="6">
        <item x="0"/>
        <item x="3"/>
        <item x="1"/>
        <item x="2"/>
        <item x="4"/>
        <item t="default"/>
      </items>
    </pivotField>
    <pivotField dataField="1" compact="0" outline="0" subtotalTop="0" showAll="0">
      <items count="3">
        <item x="0"/>
        <item x="1"/>
        <item t="default"/>
      </items>
    </pivotField>
    <pivotField dataField="1" compact="0" outline="0" subtotalTop="0" showAll="0">
      <items count="3">
        <item x="0"/>
        <item x="1"/>
        <item t="default"/>
      </items>
    </pivotField>
    <pivotField dataField="1" compact="0" outline="0" subtotalTop="0" showAll="0">
      <items count="4">
        <item x="0"/>
        <item x="1"/>
        <item x="2"/>
        <item t="default"/>
      </items>
    </pivotField>
    <pivotField dataField="1" compact="0" outline="0" subtotalTop="0" showAll="0">
      <items count="4">
        <item x="0"/>
        <item x="1"/>
        <item x="2"/>
        <item t="default"/>
      </items>
    </pivotField>
    <pivotField dataField="1" compact="0" outline="0" subtotalTop="0" showAll="0">
      <items count="13">
        <item x="0"/>
        <item x="10"/>
        <item x="9"/>
        <item x="8"/>
        <item x="2"/>
        <item x="4"/>
        <item x="7"/>
        <item x="1"/>
        <item x="3"/>
        <item x="5"/>
        <item x="6"/>
        <item x="11"/>
        <item t="default"/>
      </items>
    </pivotField>
    <pivotField dataField="1" dragToCol="0" dragToPage="0" dragToRow="0" compact="0" outline="0" subtotalTop="0" showAll="0"/>
    <pivotField dataField="1" dragToCol="0" dragToPage="0" dragToRow="0" compact="0" outline="0" subtotalTop="0" showAll="0"/>
  </pivotFields>
  <rowFields count="4">
    <field x="1"/>
    <field x="0"/>
    <field x="3"/>
    <field x="4"/>
  </rowFields>
  <rowItems count="49">
    <i>
      <x/>
      <x/>
      <x/>
      <x/>
    </i>
    <i t="default" r="2">
      <x/>
    </i>
    <i t="default" r="1">
      <x/>
    </i>
    <i r="1">
      <x v="2"/>
      <x v="5"/>
      <x v="7"/>
    </i>
    <i t="default" r="2">
      <x v="5"/>
    </i>
    <i t="default" r="1">
      <x v="2"/>
    </i>
    <i r="1">
      <x v="5"/>
      <x v="2"/>
      <x v="6"/>
    </i>
    <i t="default" r="2">
      <x v="2"/>
    </i>
    <i t="default" r="1">
      <x v="5"/>
    </i>
    <i r="1">
      <x v="6"/>
      <x v="1"/>
      <x v="2"/>
    </i>
    <i t="default" r="2">
      <x v="1"/>
    </i>
    <i t="default" r="1">
      <x v="6"/>
    </i>
    <i r="1">
      <x v="7"/>
      <x v="5"/>
      <x v="7"/>
    </i>
    <i t="default" r="2">
      <x v="5"/>
    </i>
    <i t="default" r="1">
      <x v="7"/>
    </i>
    <i t="default">
      <x/>
    </i>
    <i>
      <x v="1"/>
      <x/>
      <x v="3"/>
      <x v="5"/>
    </i>
    <i t="default" r="2">
      <x v="3"/>
    </i>
    <i t="default" r="1">
      <x/>
    </i>
    <i r="1">
      <x v="1"/>
      <x v="2"/>
      <x v="1"/>
    </i>
    <i t="default" r="2">
      <x v="2"/>
    </i>
    <i t="default" r="1">
      <x v="1"/>
    </i>
    <i r="1">
      <x v="5"/>
      <x v="2"/>
      <x v="6"/>
    </i>
    <i t="default" r="2">
      <x v="2"/>
    </i>
    <i t="default" r="1">
      <x v="5"/>
    </i>
    <i t="default">
      <x v="1"/>
    </i>
    <i>
      <x v="2"/>
      <x/>
      <x v="3"/>
      <x v="5"/>
    </i>
    <i t="default" r="2">
      <x v="3"/>
    </i>
    <i t="default" r="1">
      <x/>
    </i>
    <i t="default">
      <x v="2"/>
    </i>
    <i>
      <x v="3"/>
      <x/>
      <x v="3"/>
      <x v="5"/>
    </i>
    <i t="default" r="2">
      <x v="3"/>
    </i>
    <i t="default" r="1">
      <x/>
    </i>
    <i r="1">
      <x v="1"/>
      <x v="2"/>
      <x v="1"/>
    </i>
    <i t="default" r="2">
      <x v="2"/>
    </i>
    <i t="default" r="1">
      <x v="1"/>
    </i>
    <i r="1">
      <x v="5"/>
      <x v="2"/>
      <x v="6"/>
    </i>
    <i t="default" r="2">
      <x v="2"/>
    </i>
    <i t="default" r="1">
      <x v="5"/>
    </i>
    <i t="default">
      <x v="3"/>
    </i>
    <i>
      <x v="4"/>
      <x/>
      <x v="3"/>
      <x v="5"/>
    </i>
    <i t="default" r="2">
      <x v="3"/>
    </i>
    <i t="default" r="1">
      <x/>
    </i>
    <i t="default">
      <x v="4"/>
    </i>
    <i>
      <x v="5"/>
      <x v="1"/>
      <x v="2"/>
      <x v="1"/>
    </i>
    <i t="default" r="2">
      <x v="2"/>
    </i>
    <i t="default" r="1">
      <x v="1"/>
    </i>
    <i t="default">
      <x v="5"/>
    </i>
    <i t="grand">
      <x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dataFields count="15">
    <dataField name="SALES APRIL" fld="5" baseField="0" baseItem="0" numFmtId="39"/>
    <dataField name="SALES MAY" fld="6" baseField="0" baseItem="0" numFmtId="39"/>
    <dataField name="SALES JUNE" fld="7" baseField="0" baseItem="0" numFmtId="39"/>
    <dataField name="SALES JULY" fld="8" baseField="0" baseItem="0" numFmtId="39"/>
    <dataField name="SALES AUGUST" fld="9" baseField="0" baseItem="0" numFmtId="39"/>
    <dataField name="SALES SEPTEMBER" fld="10" baseField="0" baseItem="0" numFmtId="39"/>
    <dataField name="SALES OCTOBER" fld="11" baseField="0" baseItem="0" numFmtId="39"/>
    <dataField name="SALES NOVEMBER" fld="12" baseField="0" baseItem="0" numFmtId="39"/>
    <dataField name="SALES DECEMBER" fld="13" baseField="0" baseItem="0" numFmtId="39"/>
    <dataField name="SALES JANUARY" fld="14" baseField="0" baseItem="0" numFmtId="39"/>
    <dataField name="SALES FEBRUARY" fld="15" baseField="0" baseItem="0" numFmtId="39"/>
    <dataField name="SALES MARCH" fld="16" baseField="0" baseItem="0" numFmtId="39"/>
    <dataField name="TOTAL SALES" fld="18" baseField="0" baseItem="0" numFmtId="39"/>
    <dataField name="NO OF PCS SOLD" fld="17" baseField="0" baseItem="0" numFmtId="39"/>
    <dataField name="AVG PRICE" fld="19" baseField="0" baseItem="0" numFmtId="39"/>
  </dataFields>
  <formats count="30">
    <format dxfId="0">
      <pivotArea field="3" type="button" dataOnly="0" labelOnly="1" outline="0" fieldPosition="0"/>
    </format>
    <format dxfId="1">
      <pivotArea field="0" type="button" dataOnly="0" labelOnly="1" outline="0" fieldPosition="0"/>
    </format>
    <format dxfId="2">
      <pivotArea field="4" type="button" dataOnly="0" labelOnly="1" outline="0" fieldPosition="0"/>
    </format>
    <format dxfId="3">
      <pivotArea field="3" type="button" dataOnly="0" labelOnly="1" outline="0" fieldPosition="0"/>
    </format>
    <format dxfId="4">
      <pivotArea field="0" type="button" dataOnly="0" labelOnly="1" outline="0" fieldPosition="0"/>
    </format>
    <format dxfId="5">
      <pivotArea field="4" type="button" dataOnly="0" labelOnly="1" outline="0" fieldPosition="0"/>
    </format>
    <format dxfId="6">
      <pivotArea field="3" type="button" dataOnly="0" labelOnly="1" outline="0" fieldPosition="0"/>
    </format>
    <format dxfId="7">
      <pivotArea field="0" type="button" dataOnly="0" labelOnly="1" outline="0" fieldPosition="0"/>
    </format>
    <format dxfId="8">
      <pivotArea field="4" type="button" dataOnly="0" labelOnly="1" outline="0" fieldPosition="0"/>
    </format>
    <format dxfId="9">
      <pivotArea field="3" type="button" dataOnly="0" labelOnly="1" outline="0" fieldPosition="0"/>
    </format>
    <format dxfId="10">
      <pivotArea field="0" type="button" dataOnly="0" labelOnly="1" outline="0" fieldPosition="0"/>
    </format>
    <format dxfId="11">
      <pivotArea field="4" type="button" dataOnly="0" labelOnly="1" outline="0" fieldPosition="0"/>
    </format>
    <format dxfId="12">
      <pivotArea field="3" type="button" dataOnly="0" labelOnly="1" outline="0" fieldPosition="0"/>
    </format>
    <format dxfId="13">
      <pivotArea field="0" type="button" dataOnly="0" labelOnly="1" outline="0" fieldPosition="0"/>
    </format>
    <format dxfId="14">
      <pivotArea field="4" type="button" dataOnly="0" labelOnly="1" outline="0" fieldPosition="0"/>
    </format>
    <format dxfId="15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6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17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18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9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20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21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22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23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24">
      <pivotArea collapsedLevelsAreSubtotals="1" fieldPosition="0">
        <references count="1">
          <reference field="4294967294" count="1" selected="0">
            <x v="9"/>
          </reference>
        </references>
      </pivotArea>
    </format>
    <format dxfId="25">
      <pivotArea collapsedLevelsAreSubtotals="1" fieldPosition="0">
        <references count="1">
          <reference field="4294967294" count="1" selected="0">
            <x v="10"/>
          </reference>
        </references>
      </pivotArea>
    </format>
    <format dxfId="26">
      <pivotArea collapsedLevelsAreSubtotals="1" fieldPosition="0">
        <references count="1">
          <reference field="4294967294" count="1" selected="0">
            <x v="11"/>
          </reference>
        </references>
      </pivotArea>
    </format>
    <format dxfId="27">
      <pivotArea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collapsedLevelsAreSubtotals="1" fieldPosition="0">
        <references count="1">
          <reference field="4294967294" count="1" selected="0">
            <x v="13"/>
          </reference>
        </references>
      </pivotArea>
    </format>
    <format dxfId="29">
      <pivotArea collapsedLevelsAreSubtotals="1" fieldPosition="0">
        <references count="1">
          <reference field="4294967294" count="1" selected="0">
            <x v="14"/>
          </reference>
        </references>
      </pivotArea>
    </format>
  </formats>
  <pivotTableStyleInfo name="PivotTable Style 2" showRowHeaders="1" showColHeaders="1" showLastColumn="1"/>
  <filters count="4">
    <filter evalOrder="-1" fld="0" id="6" stringValue1="(blank)" type="captionNotEqual">
      <autoFilter ref="A1">
        <filterColumn colId="0">
          <customFilters>
            <customFilter operator="notEqual" val="(blank)"/>
          </customFilters>
        </filterColumn>
      </autoFilter>
    </filter>
    <filter evalOrder="-1" fld="1" id="5" stringValue1="(blank)" type="captionNotEqual">
      <autoFilter ref="A1">
        <filterColumn colId="0">
          <customFilters>
            <customFilter operator="notEqual" val="(blank)"/>
          </customFilters>
        </filterColumn>
      </autoFilter>
    </filter>
    <filter evalOrder="-1" fld="3" id="4" stringValue1="(blank)" type="captionNotEqual">
      <autoFilter ref="A1">
        <filterColumn colId="0">
          <customFilters>
            <customFilter operator="notEqual" val="(blank)"/>
          </customFilters>
        </filterColumn>
      </autoFilter>
    </filter>
    <filter evalOrder="-1" fld="4" id="7" stringValue1="(blank)" type="captionNotEqual">
      <autoFilter ref="A1">
        <filterColumn colId="0">
          <customFilters>
            <customFilter operator="notEqual" val="(blank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R1043812" totalsRowCount="1">
  <autoFilter ref="A1:R1043811"/>
  <sortState ref="A1:R1043811">
    <sortCondition ref="A1"/>
  </sortState>
  <tableColumns count="18">
    <tableColumn id="1" name="SalesRep" dataDxfId="30"/>
    <tableColumn id="2" name="Branch" dataDxfId="31"/>
    <tableColumn id="3" name="CustomerClass" dataDxfId="32"/>
    <tableColumn id="4" name="CustomerType" dataDxfId="33"/>
    <tableColumn id="5" name="CustomerCategory" dataDxfId="34"/>
    <tableColumn id="6" name="April" dataDxfId="35"/>
    <tableColumn id="7" name="May" dataDxfId="36"/>
    <tableColumn id="8" name="June" dataDxfId="37"/>
    <tableColumn id="9" name="July" dataDxfId="38"/>
    <tableColumn id="10" name="August" dataDxfId="39"/>
    <tableColumn id="11" name="September" dataDxfId="40"/>
    <tableColumn id="12" name="October" dataDxfId="41"/>
    <tableColumn id="13" name="November" dataDxfId="42"/>
    <tableColumn id="14" name="December" dataDxfId="43"/>
    <tableColumn id="15" name="January" dataDxfId="44"/>
    <tableColumn id="16" name="February" dataDxfId="45"/>
    <tableColumn id="17" name="March" dataDxfId="46"/>
    <tableColumn id="18" name="TotalQty" dataDxfId="4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43812"/>
  <sheetViews>
    <sheetView workbookViewId="0">
      <selection activeCell="B17" sqref="B17"/>
    </sheetView>
  </sheetViews>
  <sheetFormatPr defaultColWidth="9" defaultRowHeight="15"/>
  <cols>
    <col min="1" max="1" width="15.5714285714286" customWidth="1"/>
    <col min="2" max="2" width="24.2952380952381" customWidth="1"/>
    <col min="3" max="3" width="9.28571428571429" customWidth="1"/>
    <col min="4" max="4" width="9.80952380952381" customWidth="1"/>
    <col min="5" max="5" width="16.8571428571429" customWidth="1"/>
    <col min="6" max="6" width="12.4285714285714" customWidth="1"/>
    <col min="7" max="7" width="11" customWidth="1"/>
    <col min="8" max="8" width="12.1428571428571" customWidth="1"/>
    <col min="9" max="9" width="11.2857142857143" customWidth="1"/>
    <col min="10" max="10" width="11.247619047619" customWidth="1"/>
    <col min="11" max="11" width="12.8571428571429" customWidth="1"/>
    <col min="12" max="12" width="13.3238095238095" customWidth="1"/>
    <col min="13" max="13" width="12.7428571428571" customWidth="1"/>
    <col min="14" max="14" width="11.2571428571429" customWidth="1"/>
    <col min="15" max="15" width="12.8" customWidth="1"/>
    <col min="16" max="16" width="12" customWidth="1"/>
    <col min="17" max="17" width="11.5714285714286" customWidth="1"/>
    <col min="18" max="18" width="10.5714285714286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s="8" t="s">
        <v>19</v>
      </c>
      <c r="C2" t="s">
        <v>18</v>
      </c>
      <c r="D2" t="s">
        <v>18</v>
      </c>
      <c r="E2" s="9" t="s">
        <v>18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>
        <v>0</v>
      </c>
    </row>
    <row r="3" spans="1:18">
      <c r="A3" t="s">
        <v>18</v>
      </c>
      <c r="B3" s="8" t="s">
        <v>19</v>
      </c>
      <c r="C3" t="s">
        <v>18</v>
      </c>
      <c r="D3" t="s">
        <v>18</v>
      </c>
      <c r="E3" s="9" t="s">
        <v>18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>
        <v>0</v>
      </c>
    </row>
    <row r="4" spans="1:18">
      <c r="A4" t="s">
        <v>18</v>
      </c>
      <c r="B4" s="8" t="s">
        <v>19</v>
      </c>
      <c r="C4" t="s">
        <v>18</v>
      </c>
      <c r="D4" t="s">
        <v>18</v>
      </c>
      <c r="E4" s="9" t="s">
        <v>18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355633.766809265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>
        <v>215</v>
      </c>
    </row>
    <row r="5" spans="1:18">
      <c r="A5" t="s">
        <v>20</v>
      </c>
      <c r="B5" s="8" t="s">
        <v>19</v>
      </c>
      <c r="C5" t="s">
        <v>21</v>
      </c>
      <c r="D5" t="s">
        <v>22</v>
      </c>
      <c r="E5" s="9" t="s">
        <v>22</v>
      </c>
      <c r="F5" s="9">
        <v>0</v>
      </c>
      <c r="G5" s="9">
        <v>0</v>
      </c>
      <c r="H5" s="9">
        <v>1317593.08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>
        <v>0</v>
      </c>
    </row>
    <row r="6" spans="1:18">
      <c r="A6" t="s">
        <v>20</v>
      </c>
      <c r="B6" s="8" t="s">
        <v>19</v>
      </c>
      <c r="C6" t="s">
        <v>21</v>
      </c>
      <c r="D6" t="s">
        <v>22</v>
      </c>
      <c r="E6" s="9" t="s">
        <v>22</v>
      </c>
      <c r="F6" s="9">
        <v>0</v>
      </c>
      <c r="G6" s="9">
        <v>0</v>
      </c>
      <c r="H6" s="9">
        <v>0</v>
      </c>
      <c r="I6" s="9">
        <v>241573.25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>
        <v>0</v>
      </c>
    </row>
    <row r="7" spans="1:18">
      <c r="A7" t="s">
        <v>20</v>
      </c>
      <c r="B7" s="8" t="s">
        <v>19</v>
      </c>
      <c r="C7" t="s">
        <v>21</v>
      </c>
      <c r="D7" t="s">
        <v>22</v>
      </c>
      <c r="E7" s="9" t="s">
        <v>22</v>
      </c>
      <c r="F7" s="9">
        <v>0</v>
      </c>
      <c r="G7" s="9">
        <v>0</v>
      </c>
      <c r="H7" s="9">
        <v>0</v>
      </c>
      <c r="I7" s="9">
        <v>0</v>
      </c>
      <c r="J7" s="9">
        <v>17560.03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>
        <v>0</v>
      </c>
    </row>
    <row r="8" spans="1:18">
      <c r="A8" t="s">
        <v>23</v>
      </c>
      <c r="B8" s="8" t="s">
        <v>19</v>
      </c>
      <c r="C8" t="s">
        <v>21</v>
      </c>
      <c r="D8" t="s">
        <v>22</v>
      </c>
      <c r="E8" s="9" t="s">
        <v>22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2473335.97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>
        <v>0</v>
      </c>
    </row>
    <row r="9" spans="1:18">
      <c r="A9" t="s">
        <v>24</v>
      </c>
      <c r="B9" s="8" t="s">
        <v>19</v>
      </c>
      <c r="C9" t="s">
        <v>25</v>
      </c>
      <c r="D9" t="s">
        <v>26</v>
      </c>
      <c r="E9" s="9" t="s">
        <v>27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91218.61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>
        <v>96</v>
      </c>
    </row>
    <row r="10" spans="1:18">
      <c r="A10" t="s">
        <v>24</v>
      </c>
      <c r="B10" s="8" t="s">
        <v>19</v>
      </c>
      <c r="C10" t="s">
        <v>25</v>
      </c>
      <c r="D10" t="s">
        <v>26</v>
      </c>
      <c r="E10" s="9" t="s">
        <v>27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250795.73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>
        <v>461</v>
      </c>
    </row>
    <row r="11" spans="1:18">
      <c r="A11" t="s">
        <v>24</v>
      </c>
      <c r="B11" s="8" t="s">
        <v>19</v>
      </c>
      <c r="C11" t="s">
        <v>25</v>
      </c>
      <c r="D11" t="s">
        <v>26</v>
      </c>
      <c r="E11" s="9" t="s">
        <v>27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63817.25</v>
      </c>
      <c r="N11" s="9">
        <v>0</v>
      </c>
      <c r="O11" s="9">
        <v>0</v>
      </c>
      <c r="P11" s="9">
        <v>0</v>
      </c>
      <c r="Q11" s="9">
        <v>0</v>
      </c>
      <c r="R11">
        <v>107</v>
      </c>
    </row>
    <row r="12" spans="1:18">
      <c r="A12" t="s">
        <v>28</v>
      </c>
      <c r="B12" s="8" t="s">
        <v>29</v>
      </c>
      <c r="C12" t="s">
        <v>25</v>
      </c>
      <c r="D12" t="s">
        <v>30</v>
      </c>
      <c r="E12" s="9" t="s">
        <v>31</v>
      </c>
      <c r="F12" s="9">
        <v>0</v>
      </c>
      <c r="G12" s="9">
        <v>0</v>
      </c>
      <c r="H12" s="9">
        <v>0</v>
      </c>
      <c r="I12" s="9">
        <v>1490327.49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>
        <v>0</v>
      </c>
    </row>
    <row r="13" spans="1:18">
      <c r="A13" t="s">
        <v>28</v>
      </c>
      <c r="B13" s="8" t="s">
        <v>32</v>
      </c>
      <c r="C13" t="s">
        <v>25</v>
      </c>
      <c r="D13" t="s">
        <v>30</v>
      </c>
      <c r="E13" s="9" t="s">
        <v>31</v>
      </c>
      <c r="F13" s="9">
        <v>0</v>
      </c>
      <c r="G13" s="9">
        <v>0</v>
      </c>
      <c r="H13" s="9">
        <v>0</v>
      </c>
      <c r="I13" s="9">
        <v>0</v>
      </c>
      <c r="J13" s="9">
        <v>82398.5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>
        <v>0</v>
      </c>
    </row>
    <row r="14" spans="1:18">
      <c r="A14" t="s">
        <v>28</v>
      </c>
      <c r="B14" s="8" t="s">
        <v>33</v>
      </c>
      <c r="C14" t="s">
        <v>25</v>
      </c>
      <c r="D14" t="s">
        <v>30</v>
      </c>
      <c r="E14" s="9" t="s">
        <v>31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974670.81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>
        <v>1059</v>
      </c>
    </row>
    <row r="15" spans="1:18">
      <c r="A15" t="s">
        <v>28</v>
      </c>
      <c r="B15" s="8" t="s">
        <v>33</v>
      </c>
      <c r="C15" t="s">
        <v>25</v>
      </c>
      <c r="D15" t="s">
        <v>30</v>
      </c>
      <c r="E15" s="9" t="s">
        <v>31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1467348.23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>
        <v>1368</v>
      </c>
    </row>
    <row r="16" spans="1:18">
      <c r="A16" t="s">
        <v>28</v>
      </c>
      <c r="B16" s="8" t="s">
        <v>33</v>
      </c>
      <c r="C16" t="s">
        <v>25</v>
      </c>
      <c r="D16" t="s">
        <v>30</v>
      </c>
      <c r="E16" s="9" t="s">
        <v>31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144664.4</v>
      </c>
      <c r="N16" s="9">
        <v>0</v>
      </c>
      <c r="O16" s="9">
        <v>0</v>
      </c>
      <c r="P16" s="9">
        <v>0</v>
      </c>
      <c r="Q16" s="9">
        <v>0</v>
      </c>
      <c r="R16">
        <v>146</v>
      </c>
    </row>
    <row r="17" spans="1:18">
      <c r="A17" t="s">
        <v>34</v>
      </c>
      <c r="B17" s="8" t="s">
        <v>33</v>
      </c>
      <c r="C17" t="s">
        <v>25</v>
      </c>
      <c r="D17" t="s">
        <v>30</v>
      </c>
      <c r="E17" s="9" t="s">
        <v>35</v>
      </c>
      <c r="F17" s="9">
        <v>0</v>
      </c>
      <c r="G17" s="9">
        <v>0</v>
      </c>
      <c r="H17" s="9">
        <v>0</v>
      </c>
      <c r="I17" s="9">
        <v>141090.38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>
        <v>0</v>
      </c>
    </row>
    <row r="18" spans="1:18">
      <c r="A18" t="s">
        <v>34</v>
      </c>
      <c r="B18" s="8" t="s">
        <v>33</v>
      </c>
      <c r="C18" t="s">
        <v>25</v>
      </c>
      <c r="D18" t="s">
        <v>30</v>
      </c>
      <c r="E18" s="9" t="s">
        <v>35</v>
      </c>
      <c r="F18" s="9">
        <v>0</v>
      </c>
      <c r="G18" s="9">
        <v>0</v>
      </c>
      <c r="H18" s="9">
        <v>0</v>
      </c>
      <c r="I18" s="9">
        <v>0</v>
      </c>
      <c r="J18" s="9">
        <v>106022.11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>
        <v>0</v>
      </c>
    </row>
    <row r="19" spans="1:18">
      <c r="A19" t="s">
        <v>34</v>
      </c>
      <c r="B19" s="8" t="s">
        <v>33</v>
      </c>
      <c r="C19" t="s">
        <v>25</v>
      </c>
      <c r="D19" t="s">
        <v>30</v>
      </c>
      <c r="E19" s="9" t="s">
        <v>35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107915.68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>
        <v>91</v>
      </c>
    </row>
    <row r="20" spans="1:18">
      <c r="A20" t="s">
        <v>34</v>
      </c>
      <c r="B20" s="8" t="s">
        <v>32</v>
      </c>
      <c r="C20" t="s">
        <v>25</v>
      </c>
      <c r="D20" t="s">
        <v>30</v>
      </c>
      <c r="E20" s="9" t="s">
        <v>35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132758.12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>
        <v>72</v>
      </c>
    </row>
    <row r="21" spans="1:18">
      <c r="A21" t="s">
        <v>34</v>
      </c>
      <c r="B21" s="8" t="s">
        <v>19</v>
      </c>
      <c r="C21" t="s">
        <v>25</v>
      </c>
      <c r="D21" t="s">
        <v>30</v>
      </c>
      <c r="E21" s="9" t="s">
        <v>35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27657.94</v>
      </c>
      <c r="N21" s="9">
        <v>0</v>
      </c>
      <c r="O21" s="9">
        <v>0</v>
      </c>
      <c r="P21" s="9">
        <v>0</v>
      </c>
      <c r="Q21" s="9">
        <v>0</v>
      </c>
      <c r="R21">
        <v>15</v>
      </c>
    </row>
    <row r="22" spans="1:18">
      <c r="A22" t="s">
        <v>18</v>
      </c>
      <c r="B22" s="8" t="s">
        <v>36</v>
      </c>
      <c r="C22" t="s">
        <v>25</v>
      </c>
      <c r="D22" t="s">
        <v>37</v>
      </c>
      <c r="E22" s="9" t="s">
        <v>38</v>
      </c>
      <c r="F22" s="9">
        <v>0</v>
      </c>
      <c r="G22" s="9">
        <v>0</v>
      </c>
      <c r="H22" s="9">
        <v>0</v>
      </c>
      <c r="I22" s="9">
        <v>552793.62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>
        <v>0</v>
      </c>
    </row>
    <row r="23" spans="1:18">
      <c r="A23" t="s">
        <v>18</v>
      </c>
      <c r="B23" s="8" t="s">
        <v>33</v>
      </c>
      <c r="C23" t="s">
        <v>25</v>
      </c>
      <c r="D23" t="s">
        <v>37</v>
      </c>
      <c r="E23" s="9" t="s">
        <v>38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125386.72</v>
      </c>
      <c r="Q23" s="9">
        <v>0</v>
      </c>
      <c r="R23">
        <v>0</v>
      </c>
    </row>
    <row r="24" spans="1:18">
      <c r="A24" t="s">
        <v>18</v>
      </c>
      <c r="B24" s="8" t="s">
        <v>32</v>
      </c>
      <c r="C24" t="s">
        <v>25</v>
      </c>
      <c r="D24" t="s">
        <v>37</v>
      </c>
      <c r="E24" s="9" t="s">
        <v>38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771668.14</v>
      </c>
      <c r="R24">
        <v>0</v>
      </c>
    </row>
    <row r="25" spans="1:18">
      <c r="A25" t="s">
        <v>18</v>
      </c>
      <c r="B25" s="8" t="s">
        <v>39</v>
      </c>
      <c r="C25" t="s">
        <v>25</v>
      </c>
      <c r="D25" t="s">
        <v>37</v>
      </c>
      <c r="E25" s="9" t="s">
        <v>38</v>
      </c>
      <c r="F25" s="9">
        <v>468827.04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>
        <v>0</v>
      </c>
    </row>
    <row r="1043812" spans="1:15">
      <c r="A1043812" t="s">
        <v>40</v>
      </c>
      <c r="B1043812" t="s">
        <v>40</v>
      </c>
      <c r="C1043812" t="s">
        <v>40</v>
      </c>
      <c r="D1043812" t="s">
        <v>40</v>
      </c>
      <c r="E1043812" t="s">
        <v>40</v>
      </c>
      <c r="F1043812" t="s">
        <v>40</v>
      </c>
      <c r="G1043812" t="s">
        <v>40</v>
      </c>
      <c r="H1043812" t="s">
        <v>40</v>
      </c>
      <c r="I1043812" t="s">
        <v>40</v>
      </c>
      <c r="J1043812" t="s">
        <v>40</v>
      </c>
      <c r="K1043812" t="s">
        <v>40</v>
      </c>
      <c r="L1043812" t="s">
        <v>40</v>
      </c>
      <c r="M1043812" t="s">
        <v>40</v>
      </c>
      <c r="N1043812" t="s">
        <v>40</v>
      </c>
      <c r="O1043812" t="s">
        <v>40</v>
      </c>
    </row>
  </sheetData>
  <pageMargins left="0.75" right="0.75" top="1" bottom="1" header="0.511805555555556" footer="0.511805555555556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7"/>
  <sheetViews>
    <sheetView tabSelected="1" workbookViewId="0">
      <selection activeCell="C10" sqref="C10"/>
    </sheetView>
  </sheetViews>
  <sheetFormatPr defaultColWidth="9" defaultRowHeight="15"/>
  <cols>
    <col min="1" max="1" width="31"/>
    <col min="2" max="2" width="21.4285714285714"/>
    <col min="3" max="3" width="17"/>
    <col min="4" max="4" width="23"/>
    <col min="5" max="5" width="12.4285714285714"/>
    <col min="6" max="6" width="11.5714285714286"/>
    <col min="7" max="8" width="13"/>
    <col min="9" max="9" width="15.2857142857143"/>
    <col min="10" max="10" width="18.2857142857143"/>
    <col min="11" max="11" width="16.1428571428571"/>
    <col min="12" max="12" width="18.2857142857143"/>
    <col min="13" max="13" width="17.5714285714286"/>
    <col min="14" max="14" width="16.2857142857143"/>
    <col min="15" max="15" width="17.2857142857143"/>
    <col min="16" max="16" width="14.2857142857143"/>
    <col min="17" max="17" width="14.1428571428571"/>
    <col min="18" max="18" width="16.7142857142857"/>
    <col min="19" max="20" width="11.1428571428571"/>
  </cols>
  <sheetData>
    <row r="1" ht="23.25" spans="1:8">
      <c r="A1" s="1" t="s">
        <v>41</v>
      </c>
      <c r="B1" s="1" t="s">
        <v>41</v>
      </c>
      <c r="C1" s="1" t="s">
        <v>41</v>
      </c>
      <c r="D1" s="1" t="s">
        <v>41</v>
      </c>
      <c r="E1" s="1" t="s">
        <v>41</v>
      </c>
      <c r="F1" s="1" t="s">
        <v>41</v>
      </c>
      <c r="G1" s="1" t="s">
        <v>41</v>
      </c>
      <c r="H1" s="1"/>
    </row>
    <row r="2" spans="1:8">
      <c r="A2" s="2" t="s">
        <v>42</v>
      </c>
      <c r="B2" s="2" t="s">
        <v>42</v>
      </c>
      <c r="C2" s="2" t="s">
        <v>42</v>
      </c>
      <c r="D2" s="2" t="s">
        <v>42</v>
      </c>
      <c r="E2" s="2" t="s">
        <v>42</v>
      </c>
      <c r="F2" s="2" t="s">
        <v>42</v>
      </c>
      <c r="G2" s="2" t="s">
        <v>42</v>
      </c>
      <c r="H2" s="2"/>
    </row>
    <row r="3" spans="1:8">
      <c r="A3" s="2" t="s">
        <v>43</v>
      </c>
      <c r="B3" s="2" t="s">
        <v>43</v>
      </c>
      <c r="C3" s="2" t="s">
        <v>43</v>
      </c>
      <c r="D3" s="2" t="s">
        <v>43</v>
      </c>
      <c r="E3" s="2" t="s">
        <v>43</v>
      </c>
      <c r="F3" s="2" t="s">
        <v>43</v>
      </c>
      <c r="G3" s="2" t="s">
        <v>43</v>
      </c>
      <c r="H3" s="2"/>
    </row>
    <row r="4" ht="6" customHeight="1" spans="1:2">
      <c r="A4" s="3"/>
      <c r="B4" s="4"/>
    </row>
    <row r="5" ht="18.75" spans="1:8">
      <c r="A5" s="5" t="s">
        <v>44</v>
      </c>
      <c r="B5" s="5" t="s">
        <v>44</v>
      </c>
      <c r="C5" s="5" t="s">
        <v>44</v>
      </c>
      <c r="D5" s="5" t="s">
        <v>44</v>
      </c>
      <c r="E5" s="5" t="s">
        <v>44</v>
      </c>
      <c r="F5" s="5" t="s">
        <v>44</v>
      </c>
      <c r="G5" s="5" t="s">
        <v>44</v>
      </c>
      <c r="H5" s="5"/>
    </row>
    <row r="6" spans="1:8">
      <c r="A6" s="3" t="s">
        <v>45</v>
      </c>
      <c r="B6" s="3" t="s">
        <v>45</v>
      </c>
      <c r="C6" s="3" t="s">
        <v>45</v>
      </c>
      <c r="D6" s="3" t="s">
        <v>45</v>
      </c>
      <c r="E6" s="3" t="s">
        <v>45</v>
      </c>
      <c r="F6" s="3" t="s">
        <v>45</v>
      </c>
      <c r="G6" s="3" t="s">
        <v>45</v>
      </c>
      <c r="H6" s="3"/>
    </row>
    <row r="8" spans="1:19">
      <c r="A8" t="s">
        <v>46</v>
      </c>
      <c r="B8" s="6" t="s">
        <v>47</v>
      </c>
      <c r="C8" s="6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53</v>
      </c>
      <c r="I8" t="s">
        <v>54</v>
      </c>
      <c r="J8" t="s">
        <v>55</v>
      </c>
      <c r="K8" t="s">
        <v>56</v>
      </c>
      <c r="L8" t="s">
        <v>57</v>
      </c>
      <c r="M8" t="s">
        <v>58</v>
      </c>
      <c r="N8" t="s">
        <v>59</v>
      </c>
      <c r="O8" t="s">
        <v>60</v>
      </c>
      <c r="P8" t="s">
        <v>61</v>
      </c>
      <c r="Q8" t="s">
        <v>62</v>
      </c>
      <c r="R8" t="s">
        <v>63</v>
      </c>
      <c r="S8" t="s">
        <v>64</v>
      </c>
    </row>
    <row r="9" spans="1:19">
      <c r="A9" t="s">
        <v>19</v>
      </c>
      <c r="B9" t="s">
        <v>18</v>
      </c>
      <c r="C9" t="s">
        <v>18</v>
      </c>
      <c r="D9" t="s">
        <v>18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355633.766809265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355633.766809265</v>
      </c>
      <c r="R9" s="7">
        <v>215</v>
      </c>
      <c r="S9" s="7">
        <v>1654.11054329891</v>
      </c>
    </row>
    <row r="10" spans="3:19">
      <c r="C10" t="s">
        <v>65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355633.766809265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355633.766809265</v>
      </c>
      <c r="R10" s="7">
        <v>215</v>
      </c>
      <c r="S10" s="7">
        <v>1654.11054329891</v>
      </c>
    </row>
    <row r="11" spans="2:19">
      <c r="B11" t="s">
        <v>65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355633.766809265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355633.766809265</v>
      </c>
      <c r="R11" s="7">
        <v>215</v>
      </c>
      <c r="S11" s="7">
        <v>1654.11054329891</v>
      </c>
    </row>
    <row r="12" spans="2:19">
      <c r="B12" t="s">
        <v>20</v>
      </c>
      <c r="C12" t="s">
        <v>22</v>
      </c>
      <c r="D12" t="s">
        <v>22</v>
      </c>
      <c r="E12" s="7">
        <v>0</v>
      </c>
      <c r="F12" s="7">
        <v>0</v>
      </c>
      <c r="G12" s="7">
        <v>1317593.08</v>
      </c>
      <c r="H12" s="7">
        <v>241573.25</v>
      </c>
      <c r="I12" s="7">
        <v>17560.03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1576726.36</v>
      </c>
      <c r="R12" s="7">
        <v>0</v>
      </c>
      <c r="S12" s="7">
        <v>0</v>
      </c>
    </row>
    <row r="13" spans="3:19">
      <c r="C13" t="s">
        <v>66</v>
      </c>
      <c r="E13" s="7">
        <v>0</v>
      </c>
      <c r="F13" s="7">
        <v>0</v>
      </c>
      <c r="G13" s="7">
        <v>1317593.08</v>
      </c>
      <c r="H13" s="7">
        <v>241573.25</v>
      </c>
      <c r="I13" s="7">
        <v>17560.03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1576726.36</v>
      </c>
      <c r="R13" s="7">
        <v>0</v>
      </c>
      <c r="S13" s="7">
        <v>0</v>
      </c>
    </row>
    <row r="14" spans="2:19">
      <c r="B14" t="s">
        <v>67</v>
      </c>
      <c r="E14" s="7">
        <v>0</v>
      </c>
      <c r="F14" s="7">
        <v>0</v>
      </c>
      <c r="G14" s="7">
        <v>1317593.08</v>
      </c>
      <c r="H14" s="7">
        <v>241573.25</v>
      </c>
      <c r="I14" s="7">
        <v>17560.03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1576726.36</v>
      </c>
      <c r="R14" s="7">
        <v>0</v>
      </c>
      <c r="S14" s="7">
        <v>0</v>
      </c>
    </row>
    <row r="15" spans="2:19">
      <c r="B15" t="s">
        <v>34</v>
      </c>
      <c r="C15" t="s">
        <v>30</v>
      </c>
      <c r="D15" t="s">
        <v>35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27657.94</v>
      </c>
      <c r="M15" s="7">
        <v>0</v>
      </c>
      <c r="N15" s="7">
        <v>0</v>
      </c>
      <c r="O15" s="7">
        <v>0</v>
      </c>
      <c r="P15" s="7">
        <v>0</v>
      </c>
      <c r="Q15" s="7">
        <v>27657.94</v>
      </c>
      <c r="R15" s="7">
        <v>15</v>
      </c>
      <c r="S15" s="7">
        <v>1843.86266666667</v>
      </c>
    </row>
    <row r="16" spans="3:19">
      <c r="C16" t="s">
        <v>68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27657.94</v>
      </c>
      <c r="M16" s="7">
        <v>0</v>
      </c>
      <c r="N16" s="7">
        <v>0</v>
      </c>
      <c r="O16" s="7">
        <v>0</v>
      </c>
      <c r="P16" s="7">
        <v>0</v>
      </c>
      <c r="Q16" s="7">
        <v>27657.94</v>
      </c>
      <c r="R16" s="7">
        <v>15</v>
      </c>
      <c r="S16" s="7">
        <v>1843.86266666667</v>
      </c>
    </row>
    <row r="17" spans="2:19">
      <c r="B17" t="s">
        <v>69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27657.94</v>
      </c>
      <c r="M17" s="7">
        <v>0</v>
      </c>
      <c r="N17" s="7">
        <v>0</v>
      </c>
      <c r="O17" s="7">
        <v>0</v>
      </c>
      <c r="P17" s="7">
        <v>0</v>
      </c>
      <c r="Q17" s="7">
        <v>27657.94</v>
      </c>
      <c r="R17" s="7">
        <v>15</v>
      </c>
      <c r="S17" s="7">
        <v>1843.86266666667</v>
      </c>
    </row>
    <row r="18" spans="2:19">
      <c r="B18" t="s">
        <v>24</v>
      </c>
      <c r="C18" t="s">
        <v>26</v>
      </c>
      <c r="D18" t="s">
        <v>27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91218.61</v>
      </c>
      <c r="K18" s="7">
        <v>250795.73</v>
      </c>
      <c r="L18" s="7">
        <v>63817.25</v>
      </c>
      <c r="M18" s="7">
        <v>0</v>
      </c>
      <c r="N18" s="7">
        <v>0</v>
      </c>
      <c r="O18" s="7">
        <v>0</v>
      </c>
      <c r="P18" s="7">
        <v>0</v>
      </c>
      <c r="Q18" s="7">
        <v>405831.59</v>
      </c>
      <c r="R18" s="7">
        <v>664</v>
      </c>
      <c r="S18" s="7">
        <v>611.192153614458</v>
      </c>
    </row>
    <row r="19" spans="3:19">
      <c r="C19" t="s">
        <v>70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91218.61</v>
      </c>
      <c r="K19" s="7">
        <v>250795.73</v>
      </c>
      <c r="L19" s="7">
        <v>63817.25</v>
      </c>
      <c r="M19" s="7">
        <v>0</v>
      </c>
      <c r="N19" s="7">
        <v>0</v>
      </c>
      <c r="O19" s="7">
        <v>0</v>
      </c>
      <c r="P19" s="7">
        <v>0</v>
      </c>
      <c r="Q19" s="7">
        <v>405831.59</v>
      </c>
      <c r="R19" s="7">
        <v>664</v>
      </c>
      <c r="S19" s="7">
        <v>611.192153614458</v>
      </c>
    </row>
    <row r="20" spans="2:19">
      <c r="B20" t="s">
        <v>71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91218.61</v>
      </c>
      <c r="K20" s="7">
        <v>250795.73</v>
      </c>
      <c r="L20" s="7">
        <v>63817.25</v>
      </c>
      <c r="M20" s="7">
        <v>0</v>
      </c>
      <c r="N20" s="7">
        <v>0</v>
      </c>
      <c r="O20" s="7">
        <v>0</v>
      </c>
      <c r="P20" s="7">
        <v>0</v>
      </c>
      <c r="Q20" s="7">
        <v>405831.59</v>
      </c>
      <c r="R20" s="7">
        <v>664</v>
      </c>
      <c r="S20" s="7">
        <v>611.192153614458</v>
      </c>
    </row>
    <row r="21" spans="2:19">
      <c r="B21" t="s">
        <v>23</v>
      </c>
      <c r="C21" t="s">
        <v>22</v>
      </c>
      <c r="D21" t="s">
        <v>22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2473335.97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2473335.97</v>
      </c>
      <c r="R21" s="7">
        <v>0</v>
      </c>
      <c r="S21" s="7">
        <v>0</v>
      </c>
    </row>
    <row r="22" spans="3:19">
      <c r="C22" t="s">
        <v>66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2473335.97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2473335.97</v>
      </c>
      <c r="R22" s="7">
        <v>0</v>
      </c>
      <c r="S22" s="7">
        <v>0</v>
      </c>
    </row>
    <row r="23" spans="2:19">
      <c r="B23" t="s">
        <v>72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2473335.97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2473335.97</v>
      </c>
      <c r="R23" s="7">
        <v>0</v>
      </c>
      <c r="S23" s="7">
        <v>0</v>
      </c>
    </row>
    <row r="24" spans="1:19">
      <c r="A24" t="s">
        <v>73</v>
      </c>
      <c r="E24" s="7">
        <v>0</v>
      </c>
      <c r="F24" s="7">
        <v>0</v>
      </c>
      <c r="G24" s="7">
        <v>1317593.08</v>
      </c>
      <c r="H24" s="7">
        <v>241573.25</v>
      </c>
      <c r="I24" s="7">
        <v>17560.03</v>
      </c>
      <c r="J24" s="7">
        <v>2920188.34680927</v>
      </c>
      <c r="K24" s="7">
        <v>250795.73</v>
      </c>
      <c r="L24" s="7">
        <v>91475.19</v>
      </c>
      <c r="M24" s="7">
        <v>0</v>
      </c>
      <c r="N24" s="7">
        <v>0</v>
      </c>
      <c r="O24" s="7">
        <v>0</v>
      </c>
      <c r="P24" s="7">
        <v>0</v>
      </c>
      <c r="Q24" s="7">
        <v>4839185.62680927</v>
      </c>
      <c r="R24" s="7">
        <v>894</v>
      </c>
      <c r="S24" s="7">
        <v>5412.95931410433</v>
      </c>
    </row>
    <row r="25" spans="1:19">
      <c r="A25" t="s">
        <v>32</v>
      </c>
      <c r="B25" t="s">
        <v>18</v>
      </c>
      <c r="C25" t="s">
        <v>37</v>
      </c>
      <c r="D25" t="s">
        <v>38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771668.14</v>
      </c>
      <c r="Q25" s="7">
        <v>771668.14</v>
      </c>
      <c r="R25" s="7">
        <v>0</v>
      </c>
      <c r="S25" s="7">
        <v>0</v>
      </c>
    </row>
    <row r="26" spans="3:19">
      <c r="C26" t="s">
        <v>74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771668.14</v>
      </c>
      <c r="Q26" s="7">
        <v>771668.14</v>
      </c>
      <c r="R26" s="7">
        <v>0</v>
      </c>
      <c r="S26" s="7">
        <v>0</v>
      </c>
    </row>
    <row r="27" spans="2:19">
      <c r="B27" t="s">
        <v>65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771668.14</v>
      </c>
      <c r="Q27" s="7">
        <v>771668.14</v>
      </c>
      <c r="R27" s="7">
        <v>0</v>
      </c>
      <c r="S27" s="7">
        <v>0</v>
      </c>
    </row>
    <row r="28" spans="2:19">
      <c r="B28" t="s">
        <v>28</v>
      </c>
      <c r="C28" t="s">
        <v>30</v>
      </c>
      <c r="D28" t="s">
        <v>31</v>
      </c>
      <c r="E28" s="7">
        <v>0</v>
      </c>
      <c r="F28" s="7">
        <v>0</v>
      </c>
      <c r="G28" s="7">
        <v>0</v>
      </c>
      <c r="H28" s="7">
        <v>0</v>
      </c>
      <c r="I28" s="7">
        <v>82398.5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82398.5</v>
      </c>
      <c r="R28" s="7">
        <v>0</v>
      </c>
      <c r="S28" s="7">
        <v>0</v>
      </c>
    </row>
    <row r="29" spans="3:19">
      <c r="C29" t="s">
        <v>68</v>
      </c>
      <c r="E29" s="7">
        <v>0</v>
      </c>
      <c r="F29" s="7">
        <v>0</v>
      </c>
      <c r="G29" s="7">
        <v>0</v>
      </c>
      <c r="H29" s="7">
        <v>0</v>
      </c>
      <c r="I29" s="7">
        <v>82398.5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82398.5</v>
      </c>
      <c r="R29" s="7">
        <v>0</v>
      </c>
      <c r="S29" s="7">
        <v>0</v>
      </c>
    </row>
    <row r="30" spans="2:19">
      <c r="B30" t="s">
        <v>75</v>
      </c>
      <c r="E30" s="7">
        <v>0</v>
      </c>
      <c r="F30" s="7">
        <v>0</v>
      </c>
      <c r="G30" s="7">
        <v>0</v>
      </c>
      <c r="H30" s="7">
        <v>0</v>
      </c>
      <c r="I30" s="7">
        <v>82398.5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82398.5</v>
      </c>
      <c r="R30" s="7">
        <v>0</v>
      </c>
      <c r="S30" s="7">
        <v>0</v>
      </c>
    </row>
    <row r="31" spans="2:19">
      <c r="B31" t="s">
        <v>34</v>
      </c>
      <c r="C31" t="s">
        <v>30</v>
      </c>
      <c r="D31" t="s">
        <v>35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132758.12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132758.12</v>
      </c>
      <c r="R31" s="7">
        <v>72</v>
      </c>
      <c r="S31" s="7">
        <v>1843.86277777778</v>
      </c>
    </row>
    <row r="32" spans="3:19">
      <c r="C32" t="s">
        <v>68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132758.12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132758.12</v>
      </c>
      <c r="R32" s="7">
        <v>72</v>
      </c>
      <c r="S32" s="7">
        <v>1843.86277777778</v>
      </c>
    </row>
    <row r="33" spans="2:19">
      <c r="B33" t="s">
        <v>69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132758.12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132758.12</v>
      </c>
      <c r="R33" s="7">
        <v>72</v>
      </c>
      <c r="S33" s="7">
        <v>1843.86277777778</v>
      </c>
    </row>
    <row r="34" spans="1:19">
      <c r="A34" t="s">
        <v>76</v>
      </c>
      <c r="E34" s="7">
        <v>0</v>
      </c>
      <c r="F34" s="7">
        <v>0</v>
      </c>
      <c r="G34" s="7">
        <v>0</v>
      </c>
      <c r="H34" s="7">
        <v>0</v>
      </c>
      <c r="I34" s="7">
        <v>82398.5</v>
      </c>
      <c r="J34" s="7">
        <v>0</v>
      </c>
      <c r="K34" s="7">
        <v>132758.12</v>
      </c>
      <c r="L34" s="7">
        <v>0</v>
      </c>
      <c r="M34" s="7">
        <v>0</v>
      </c>
      <c r="N34" s="7">
        <v>0</v>
      </c>
      <c r="O34" s="7">
        <v>0</v>
      </c>
      <c r="P34" s="7">
        <v>771668.14</v>
      </c>
      <c r="Q34" s="7">
        <v>986824.76</v>
      </c>
      <c r="R34" s="7">
        <v>72</v>
      </c>
      <c r="S34" s="7">
        <v>13705.8994444444</v>
      </c>
    </row>
    <row r="35" spans="1:19">
      <c r="A35" t="s">
        <v>36</v>
      </c>
      <c r="B35" t="s">
        <v>18</v>
      </c>
      <c r="C35" t="s">
        <v>37</v>
      </c>
      <c r="D35" t="s">
        <v>38</v>
      </c>
      <c r="E35" s="7">
        <v>0</v>
      </c>
      <c r="F35" s="7">
        <v>0</v>
      </c>
      <c r="G35" s="7">
        <v>0</v>
      </c>
      <c r="H35" s="7">
        <v>552793.62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552793.62</v>
      </c>
      <c r="R35" s="7">
        <v>0</v>
      </c>
      <c r="S35" s="7">
        <v>0</v>
      </c>
    </row>
    <row r="36" spans="3:19">
      <c r="C36" t="s">
        <v>74</v>
      </c>
      <c r="E36" s="7">
        <v>0</v>
      </c>
      <c r="F36" s="7">
        <v>0</v>
      </c>
      <c r="G36" s="7">
        <v>0</v>
      </c>
      <c r="H36" s="7">
        <v>552793.62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552793.62</v>
      </c>
      <c r="R36" s="7">
        <v>0</v>
      </c>
      <c r="S36" s="7">
        <v>0</v>
      </c>
    </row>
    <row r="37" spans="2:19">
      <c r="B37" t="s">
        <v>65</v>
      </c>
      <c r="E37" s="7">
        <v>0</v>
      </c>
      <c r="F37" s="7">
        <v>0</v>
      </c>
      <c r="G37" s="7">
        <v>0</v>
      </c>
      <c r="H37" s="7">
        <v>552793.62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552793.62</v>
      </c>
      <c r="R37" s="7">
        <v>0</v>
      </c>
      <c r="S37" s="7">
        <v>0</v>
      </c>
    </row>
    <row r="38" spans="1:19">
      <c r="A38" t="s">
        <v>77</v>
      </c>
      <c r="E38" s="7">
        <v>0</v>
      </c>
      <c r="F38" s="7">
        <v>0</v>
      </c>
      <c r="G38" s="7">
        <v>0</v>
      </c>
      <c r="H38" s="7">
        <v>552793.62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552793.62</v>
      </c>
      <c r="R38" s="7">
        <v>0</v>
      </c>
      <c r="S38" s="7">
        <v>0</v>
      </c>
    </row>
    <row r="39" spans="1:19">
      <c r="A39" t="s">
        <v>33</v>
      </c>
      <c r="B39" t="s">
        <v>18</v>
      </c>
      <c r="C39" t="s">
        <v>37</v>
      </c>
      <c r="D39" t="s">
        <v>38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125386.72</v>
      </c>
      <c r="P39" s="7">
        <v>0</v>
      </c>
      <c r="Q39" s="7">
        <v>125386.72</v>
      </c>
      <c r="R39" s="7">
        <v>0</v>
      </c>
      <c r="S39" s="7">
        <v>0</v>
      </c>
    </row>
    <row r="40" spans="3:19">
      <c r="C40" t="s">
        <v>74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125386.72</v>
      </c>
      <c r="P40" s="7">
        <v>0</v>
      </c>
      <c r="Q40" s="7">
        <v>125386.72</v>
      </c>
      <c r="R40" s="7">
        <v>0</v>
      </c>
      <c r="S40" s="7">
        <v>0</v>
      </c>
    </row>
    <row r="41" spans="2:19">
      <c r="B41" t="s">
        <v>65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125386.72</v>
      </c>
      <c r="P41" s="7">
        <v>0</v>
      </c>
      <c r="Q41" s="7">
        <v>125386.72</v>
      </c>
      <c r="R41" s="7">
        <v>0</v>
      </c>
      <c r="S41" s="7">
        <v>0</v>
      </c>
    </row>
    <row r="42" spans="2:19">
      <c r="B42" t="s">
        <v>28</v>
      </c>
      <c r="C42" t="s">
        <v>30</v>
      </c>
      <c r="D42" t="s">
        <v>31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974670.81</v>
      </c>
      <c r="K42" s="7">
        <v>1467348.23</v>
      </c>
      <c r="L42" s="7">
        <v>144664.4</v>
      </c>
      <c r="M42" s="7">
        <v>0</v>
      </c>
      <c r="N42" s="7">
        <v>0</v>
      </c>
      <c r="O42" s="7">
        <v>0</v>
      </c>
      <c r="P42" s="7">
        <v>0</v>
      </c>
      <c r="Q42" s="7">
        <v>2586683.44</v>
      </c>
      <c r="R42" s="7">
        <v>2573</v>
      </c>
      <c r="S42" s="7">
        <v>1005.31808783521</v>
      </c>
    </row>
    <row r="43" spans="3:19">
      <c r="C43" t="s">
        <v>68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974670.81</v>
      </c>
      <c r="K43" s="7">
        <v>1467348.23</v>
      </c>
      <c r="L43" s="7">
        <v>144664.4</v>
      </c>
      <c r="M43" s="7">
        <v>0</v>
      </c>
      <c r="N43" s="7">
        <v>0</v>
      </c>
      <c r="O43" s="7">
        <v>0</v>
      </c>
      <c r="P43" s="7">
        <v>0</v>
      </c>
      <c r="Q43" s="7">
        <v>2586683.44</v>
      </c>
      <c r="R43" s="7">
        <v>2573</v>
      </c>
      <c r="S43" s="7">
        <v>1005.31808783521</v>
      </c>
    </row>
    <row r="44" spans="2:19">
      <c r="B44" t="s">
        <v>75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974670.81</v>
      </c>
      <c r="K44" s="7">
        <v>1467348.23</v>
      </c>
      <c r="L44" s="7">
        <v>144664.4</v>
      </c>
      <c r="M44" s="7">
        <v>0</v>
      </c>
      <c r="N44" s="7">
        <v>0</v>
      </c>
      <c r="O44" s="7">
        <v>0</v>
      </c>
      <c r="P44" s="7">
        <v>0</v>
      </c>
      <c r="Q44" s="7">
        <v>2586683.44</v>
      </c>
      <c r="R44" s="7">
        <v>2573</v>
      </c>
      <c r="S44" s="7">
        <v>1005.31808783521</v>
      </c>
    </row>
    <row r="45" spans="2:19">
      <c r="B45" t="s">
        <v>34</v>
      </c>
      <c r="C45" t="s">
        <v>30</v>
      </c>
      <c r="D45" t="s">
        <v>35</v>
      </c>
      <c r="E45" s="7">
        <v>0</v>
      </c>
      <c r="F45" s="7">
        <v>0</v>
      </c>
      <c r="G45" s="7">
        <v>0</v>
      </c>
      <c r="H45" s="7">
        <v>141090.38</v>
      </c>
      <c r="I45" s="7">
        <v>106022.11</v>
      </c>
      <c r="J45" s="7">
        <v>107915.68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355028.17</v>
      </c>
      <c r="R45" s="7">
        <v>91</v>
      </c>
      <c r="S45" s="7">
        <v>3901.40846153846</v>
      </c>
    </row>
    <row r="46" spans="3:19">
      <c r="C46" t="s">
        <v>68</v>
      </c>
      <c r="E46" s="7">
        <v>0</v>
      </c>
      <c r="F46" s="7">
        <v>0</v>
      </c>
      <c r="G46" s="7">
        <v>0</v>
      </c>
      <c r="H46" s="7">
        <v>141090.38</v>
      </c>
      <c r="I46" s="7">
        <v>106022.11</v>
      </c>
      <c r="J46" s="7">
        <v>107915.68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355028.17</v>
      </c>
      <c r="R46" s="7">
        <v>91</v>
      </c>
      <c r="S46" s="7">
        <v>3901.40846153846</v>
      </c>
    </row>
    <row r="47" spans="2:19">
      <c r="B47" t="s">
        <v>69</v>
      </c>
      <c r="E47" s="7">
        <v>0</v>
      </c>
      <c r="F47" s="7">
        <v>0</v>
      </c>
      <c r="G47" s="7">
        <v>0</v>
      </c>
      <c r="H47" s="7">
        <v>141090.38</v>
      </c>
      <c r="I47" s="7">
        <v>106022.11</v>
      </c>
      <c r="J47" s="7">
        <v>107915.68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355028.17</v>
      </c>
      <c r="R47" s="7">
        <v>91</v>
      </c>
      <c r="S47" s="7">
        <v>3901.40846153846</v>
      </c>
    </row>
    <row r="48" spans="1:19">
      <c r="A48" t="s">
        <v>78</v>
      </c>
      <c r="E48" s="7">
        <v>0</v>
      </c>
      <c r="F48" s="7">
        <v>0</v>
      </c>
      <c r="G48" s="7">
        <v>0</v>
      </c>
      <c r="H48" s="7">
        <v>141090.38</v>
      </c>
      <c r="I48" s="7">
        <v>106022.11</v>
      </c>
      <c r="J48" s="7">
        <v>1082586.49</v>
      </c>
      <c r="K48" s="7">
        <v>1467348.23</v>
      </c>
      <c r="L48" s="7">
        <v>144664.4</v>
      </c>
      <c r="M48" s="7">
        <v>0</v>
      </c>
      <c r="N48" s="7">
        <v>0</v>
      </c>
      <c r="O48" s="7">
        <v>125386.72</v>
      </c>
      <c r="P48" s="7">
        <v>0</v>
      </c>
      <c r="Q48" s="7">
        <v>3067098.33</v>
      </c>
      <c r="R48" s="7">
        <v>2664</v>
      </c>
      <c r="S48" s="7">
        <v>1151.31318693694</v>
      </c>
    </row>
    <row r="49" spans="1:19">
      <c r="A49" t="s">
        <v>39</v>
      </c>
      <c r="B49" t="s">
        <v>18</v>
      </c>
      <c r="C49" t="s">
        <v>37</v>
      </c>
      <c r="D49" t="s">
        <v>38</v>
      </c>
      <c r="E49" s="7">
        <v>468827.04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468827.04</v>
      </c>
      <c r="R49" s="7">
        <v>0</v>
      </c>
      <c r="S49" s="7">
        <v>0</v>
      </c>
    </row>
    <row r="50" spans="3:19">
      <c r="C50" t="s">
        <v>74</v>
      </c>
      <c r="E50" s="7">
        <v>468827.04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468827.04</v>
      </c>
      <c r="R50" s="7">
        <v>0</v>
      </c>
      <c r="S50" s="7">
        <v>0</v>
      </c>
    </row>
    <row r="51" spans="2:19">
      <c r="B51" t="s">
        <v>65</v>
      </c>
      <c r="E51" s="7">
        <v>468827.04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468827.04</v>
      </c>
      <c r="R51" s="7">
        <v>0</v>
      </c>
      <c r="S51" s="7">
        <v>0</v>
      </c>
    </row>
    <row r="52" spans="1:19">
      <c r="A52" t="s">
        <v>79</v>
      </c>
      <c r="E52" s="7">
        <v>468827.04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468827.04</v>
      </c>
      <c r="R52" s="7">
        <v>0</v>
      </c>
      <c r="S52" s="7">
        <v>0</v>
      </c>
    </row>
    <row r="53" spans="1:19">
      <c r="A53" t="s">
        <v>29</v>
      </c>
      <c r="B53" t="s">
        <v>28</v>
      </c>
      <c r="C53" t="s">
        <v>30</v>
      </c>
      <c r="D53" t="s">
        <v>31</v>
      </c>
      <c r="E53" s="7">
        <v>0</v>
      </c>
      <c r="F53" s="7">
        <v>0</v>
      </c>
      <c r="G53" s="7">
        <v>0</v>
      </c>
      <c r="H53" s="7">
        <v>1490327.49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1490327.49</v>
      </c>
      <c r="R53" s="7">
        <v>0</v>
      </c>
      <c r="S53" s="7">
        <v>0</v>
      </c>
    </row>
    <row r="54" spans="3:19">
      <c r="C54" t="s">
        <v>68</v>
      </c>
      <c r="E54" s="7">
        <v>0</v>
      </c>
      <c r="F54" s="7">
        <v>0</v>
      </c>
      <c r="G54" s="7">
        <v>0</v>
      </c>
      <c r="H54" s="7">
        <v>1490327.49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1490327.49</v>
      </c>
      <c r="R54" s="7">
        <v>0</v>
      </c>
      <c r="S54" s="7">
        <v>0</v>
      </c>
    </row>
    <row r="55" spans="2:19">
      <c r="B55" t="s">
        <v>75</v>
      </c>
      <c r="E55" s="7">
        <v>0</v>
      </c>
      <c r="F55" s="7">
        <v>0</v>
      </c>
      <c r="G55" s="7">
        <v>0</v>
      </c>
      <c r="H55" s="7">
        <v>1490327.49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1490327.49</v>
      </c>
      <c r="R55" s="7">
        <v>0</v>
      </c>
      <c r="S55" s="7">
        <v>0</v>
      </c>
    </row>
    <row r="56" spans="1:19">
      <c r="A56" t="s">
        <v>80</v>
      </c>
      <c r="E56" s="7">
        <v>0</v>
      </c>
      <c r="F56" s="7">
        <v>0</v>
      </c>
      <c r="G56" s="7">
        <v>0</v>
      </c>
      <c r="H56" s="7">
        <v>1490327.49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1490327.49</v>
      </c>
      <c r="R56" s="7">
        <v>0</v>
      </c>
      <c r="S56" s="7">
        <v>0</v>
      </c>
    </row>
    <row r="57" spans="1:19">
      <c r="A57" t="s">
        <v>81</v>
      </c>
      <c r="E57" s="7">
        <v>468827.04</v>
      </c>
      <c r="F57" s="7">
        <v>0</v>
      </c>
      <c r="G57" s="7">
        <v>1317593.08</v>
      </c>
      <c r="H57" s="7">
        <v>2425784.74</v>
      </c>
      <c r="I57" s="7">
        <v>205980.64</v>
      </c>
      <c r="J57" s="7">
        <v>4002774.83680927</v>
      </c>
      <c r="K57" s="7">
        <v>1850902.08</v>
      </c>
      <c r="L57" s="7">
        <v>236139.59</v>
      </c>
      <c r="M57" s="7">
        <v>0</v>
      </c>
      <c r="N57" s="7">
        <v>0</v>
      </c>
      <c r="O57" s="7">
        <v>125386.72</v>
      </c>
      <c r="P57" s="7">
        <v>771668.14</v>
      </c>
      <c r="Q57" s="7">
        <v>11405056.8668093</v>
      </c>
      <c r="R57" s="7">
        <v>3630</v>
      </c>
      <c r="S57" s="7">
        <v>3141.88894402459</v>
      </c>
    </row>
  </sheetData>
  <mergeCells count="5">
    <mergeCell ref="A1:H1"/>
    <mergeCell ref="A2:H2"/>
    <mergeCell ref="A3:H3"/>
    <mergeCell ref="A5:H5"/>
    <mergeCell ref="A6:H6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SalesReportSummary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Anoj</dc:creator>
  <cp:lastModifiedBy>pdeng3</cp:lastModifiedBy>
  <dcterms:created xsi:type="dcterms:W3CDTF">2018-11-15T14:16:00Z</dcterms:created>
  <dcterms:modified xsi:type="dcterms:W3CDTF">2019-05-15T08:22:55Z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