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table+xml" PartName="/xl/tables/table2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60" windowHeight="12165" tabRatio="360" activeTab="1"/>
  </bookViews>
  <sheets>
    <sheet name="Raw_Data" sheetId="1" r:id="rId1" state="hidden"/>
    <sheet name="SalesReportDetail_InvoiceItem" sheetId="2" r:id="rId2"/>
  </sheets>
  <calcPr calcId="144525" fullCalcOnLoad="1"/>
  <pivotCaches>
    <pivotCache cacheId="0" r:id="rId3"/>
  </pivotCaches>
</workbook>
</file>

<file path=xl/sharedStrings.xml><?xml version="1.0" encoding="utf-8"?>
<sst xmlns="http://schemas.openxmlformats.org/spreadsheetml/2006/main" count="118" uniqueCount="118">
  <si>
    <t>TxType</t>
  </si>
  <si>
    <t>Tx ID</t>
  </si>
  <si>
    <t>TxDate</t>
  </si>
  <si>
    <t>SalesRep</t>
  </si>
  <si>
    <t>Customer</t>
  </si>
  <si>
    <t>CustomerType</t>
  </si>
  <si>
    <t>CustomerCategory</t>
  </si>
  <si>
    <t>Item ID</t>
  </si>
  <si>
    <t>ItemName</t>
  </si>
  <si>
    <t>SellingPrice</t>
  </si>
  <si>
    <t>TotalQty</t>
  </si>
  <si>
    <t>ItemTotal</t>
  </si>
  <si>
    <t>Discount</t>
  </si>
  <si>
    <t>SubTotal</t>
  </si>
  <si>
    <t>NBTAmount</t>
  </si>
  <si>
    <t>VATAmount</t>
  </si>
  <si>
    <t>GrandTotal</t>
  </si>
  <si>
    <t>SVATAmount</t>
  </si>
  <si>
    <t>POS Sales &amp; Return</t>
  </si>
  <si>
    <t>CSL-SR01-2230</t>
  </si>
  <si>
    <t>-</t>
  </si>
  <si>
    <t xml:space="preserve">CASH  NAWALA</t>
  </si>
  <si>
    <t>OTHER</t>
  </si>
  <si>
    <t>ITM/000650</t>
  </si>
  <si>
    <t>CLASSIC PILLOW 18" X 27"</t>
  </si>
  <si>
    <t>ITM/000874</t>
  </si>
  <si>
    <t>GEL PILLOW 18" X 27"</t>
  </si>
  <si>
    <t>PSRN/000056</t>
  </si>
  <si>
    <t>MR.CHARITH GOONATHILAKE (CHAIRMAN)</t>
  </si>
  <si>
    <t>ITM/001447</t>
  </si>
  <si>
    <t>CLASSIC BED SHEET 70" X 110" WHITE</t>
  </si>
  <si>
    <t>CSL-SR01-2231</t>
  </si>
  <si>
    <t>ITM/001449</t>
  </si>
  <si>
    <t>CLASSIC BED SHEET 100" X 110" WHITE</t>
  </si>
  <si>
    <t>CSL-SR01-2232</t>
  </si>
  <si>
    <t>MRS. N WIJETUNGA</t>
  </si>
  <si>
    <t>ITM/002276</t>
  </si>
  <si>
    <t>GEL PILLOW PACK 14" X 20"</t>
  </si>
  <si>
    <t>ITM/001553</t>
  </si>
  <si>
    <t>PREMIUM PILLOW CASE 18" X 27" WHITE</t>
  </si>
  <si>
    <t>CELCIUS SOLUTIONS (PVT) LTD</t>
  </si>
  <si>
    <t>NO. 616, NEGOMBO ROAD, LIYANAGEMULLA, SEEDUWA, SRI LANKA.</t>
  </si>
  <si>
    <t>Tel : +94 114 858 859 FAX : +94 114 741 861</t>
  </si>
  <si>
    <t xml:space="preserve">Sales Detail Report (Invoice &amp; Item  Wise)</t>
  </si>
  <si>
    <t>From : 1/28/2019 - To :2/5/2019</t>
  </si>
  <si>
    <t>DATE</t>
  </si>
  <si>
    <t>SALES REP</t>
  </si>
  <si>
    <t>INVOICE / CR NOTE NO</t>
  </si>
  <si>
    <t>CUSTOMER NAME</t>
  </si>
  <si>
    <t>CUS TYPE</t>
  </si>
  <si>
    <t>CUS CATEGORY</t>
  </si>
  <si>
    <t>ITEM CODE</t>
  </si>
  <si>
    <t>ITEM</t>
  </si>
  <si>
    <t>SELLING PRICE (TAX EXCLUSIVE)</t>
  </si>
  <si>
    <t>TOTAL QTY (PCS)</t>
  </si>
  <si>
    <t>INVOICE AMOUNT BEFORE DISCOUNT LKR</t>
  </si>
  <si>
    <t>ALL DISCOUNT [LINE &amp; OTHER]</t>
  </si>
  <si>
    <t>NET AMOUNT LKR</t>
  </si>
  <si>
    <t>AVG PRICE</t>
  </si>
  <si>
    <t>NBT AMOUNT LKR</t>
  </si>
  <si>
    <t>VAT AMOUNT LKR</t>
  </si>
  <si>
    <t>INVOICE AMOUNT LKR</t>
  </si>
  <si>
    <t>SVAT AMOUNT LKR</t>
  </si>
  <si>
    <t>1-Sales</t>
  </si>
  <si>
    <t>CSL-TAX-01470</t>
  </si>
  <si>
    <t>STAFF SALE -THISAL ARUNYA EPF 664</t>
  </si>
  <si>
    <t>STAFF SALE</t>
  </si>
  <si>
    <t>ITM/000780</t>
  </si>
  <si>
    <t>SUPER PILLOW 18" X 27" VACUUM</t>
  </si>
  <si>
    <t>MALITH</t>
  </si>
  <si>
    <t>CSL-TAX-01538</t>
  </si>
  <si>
    <t>RICHARD PIERIS DISTRIBUTORS LTD</t>
  </si>
  <si>
    <t>ARPICO</t>
  </si>
  <si>
    <t>DEALER NETWORK</t>
  </si>
  <si>
    <t>ITM/001970</t>
  </si>
  <si>
    <t>CLASSIC 100% COTTON 250TC 1CM S/STRIPE BED SHEET PACK 110" X 110" WHITE</t>
  </si>
  <si>
    <t>2-Sales Return</t>
  </si>
  <si>
    <t>J.THUSHAN</t>
  </si>
  <si>
    <t>CSL-SR-00151</t>
  </si>
  <si>
    <t>KANDY FASHION-KADAWATHA</t>
  </si>
  <si>
    <t>GENERAL TRADE</t>
  </si>
  <si>
    <t>ITM/001571</t>
  </si>
  <si>
    <t>KAPOK PILLOW 11" x 15"</t>
  </si>
  <si>
    <t>PREMALI</t>
  </si>
  <si>
    <t>CSL-SR-00152</t>
  </si>
  <si>
    <t>VILLAS BY TARU</t>
  </si>
  <si>
    <t>DIRECT SALE - SEEDUWA SR</t>
  </si>
  <si>
    <t>SHOWROOMS</t>
  </si>
  <si>
    <t>ITM/003053</t>
  </si>
  <si>
    <t>CMD TARU VILLA GEL FITTED MATTRESS TOPPER 42" X 72" X 6" WHITE</t>
  </si>
  <si>
    <t>CSL-SR-00153</t>
  </si>
  <si>
    <t>ITM/003430</t>
  </si>
  <si>
    <t>SUPER PILLOW 18" X 27" M</t>
  </si>
  <si>
    <t>3-POS Sales</t>
  </si>
  <si>
    <t>CSL-SR01-0781</t>
  </si>
  <si>
    <t>default</t>
  </si>
  <si>
    <t>CSL-SR01-0782</t>
  </si>
  <si>
    <t>ITM/002580</t>
  </si>
  <si>
    <t>TENCEL PILLOW CASE 20" X 30" TAN</t>
  </si>
  <si>
    <t>CSL-SR01-0783</t>
  </si>
  <si>
    <t>ITM/000629</t>
  </si>
  <si>
    <t>CLASSIC PILLOW 16" X 24"</t>
  </si>
  <si>
    <t>ITM/001552</t>
  </si>
  <si>
    <t>PREMIUM PILLOW CASE 16" X 24" WHITE</t>
  </si>
  <si>
    <t>4-POS Return</t>
  </si>
  <si>
    <t>PSRN/000002</t>
  </si>
  <si>
    <t xml:space="preserve">CASH  CRESCAT</t>
  </si>
  <si>
    <t>ITM/000429</t>
  </si>
  <si>
    <t>SUPER PILLOW PROTECTOR 20" X 30" WHITE</t>
  </si>
  <si>
    <t>PSRN/000003</t>
  </si>
  <si>
    <t>ITM/001554</t>
  </si>
  <si>
    <t>PREMIUM PILLOW CASE 20" X 30" WHITE</t>
  </si>
  <si>
    <t>PSRN/000004</t>
  </si>
  <si>
    <t>ITM/001473</t>
  </si>
  <si>
    <t>CLASSIC BED SHEET 110" X 110" ASH</t>
  </si>
  <si>
    <t>ITM/001489</t>
  </si>
  <si>
    <t>CLASSIC PILLOW CASE 20" X 30" WHITE</t>
  </si>
  <si>
    <t>Grand Total</t>
  </si>
</sst>
</file>

<file path=xl/styles.xml><?xml version="1.0" encoding="utf-8"?>
<styleSheet xmlns="http://schemas.openxmlformats.org/spreadsheetml/2006/main">
  <numFmts count="7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dd\-mmm\-yyyy"/>
    <numFmt numFmtId="180" formatCode="dd-mmm-yyyy"/>
  </numFmts>
  <fonts count="24">
    <font>
      <sz val="11"/>
      <name val="Calibri"/>
    </font>
    <font>
      <sz val="11"/>
      <color theme="1"/>
      <name val="Calibri"/>
      <scheme val="minor"/>
    </font>
    <font>
      <b/>
      <sz val="18"/>
      <name val="Calibri"/>
    </font>
    <font>
      <b/>
      <sz val="11"/>
      <name val="Calibri"/>
    </font>
    <font>
      <b/>
      <sz val="14"/>
      <name val="Calibri"/>
    </font>
    <font>
      <b/>
      <sz val="11"/>
      <color theme="0"/>
      <name val="Calibri"/>
    </font>
    <font>
      <sz val="11"/>
      <color rgb="FF3F3F76"/>
      <name val="Calibri"/>
      <scheme val="minor"/>
    </font>
    <font>
      <u/>
      <sz val="11"/>
      <color rgb="FF0000FF"/>
      <name val="Calibri"/>
      <scheme val="minor"/>
    </font>
    <font>
      <b/>
      <sz val="13"/>
      <color theme="3"/>
      <name val="Calibri"/>
      <scheme val="minor"/>
    </font>
    <font>
      <sz val="11"/>
      <color rgb="FFFF0000"/>
      <name val="Calibri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scheme val="minor"/>
    </font>
    <font>
      <sz val="11"/>
      <color theme="0"/>
      <name val="Calibri"/>
      <scheme val="minor"/>
    </font>
    <font>
      <u/>
      <sz val="11"/>
      <color rgb="FF800080"/>
      <name val="Calibri"/>
      <scheme val="minor"/>
    </font>
    <font>
      <b/>
      <sz val="11"/>
      <color theme="3"/>
      <name val="Calibri"/>
      <scheme val="minor"/>
    </font>
    <font>
      <b/>
      <sz val="18"/>
      <color theme="3"/>
      <name val="Calibri"/>
      <scheme val="minor"/>
    </font>
    <font>
      <b/>
      <sz val="15"/>
      <color theme="3"/>
      <name val="Calibri"/>
      <scheme val="minor"/>
    </font>
    <font>
      <i/>
      <sz val="11"/>
      <color rgb="FF7F7F7F"/>
      <name val="Calibri"/>
      <scheme val="minor"/>
    </font>
    <font>
      <sz val="11"/>
      <color rgb="FF9C0006"/>
      <name val="Calibri"/>
      <scheme val="minor"/>
    </font>
    <font>
      <sz val="11"/>
      <color rgb="FF006100"/>
      <name val="Calibri"/>
      <scheme val="minor"/>
    </font>
    <font>
      <b/>
      <sz val="11"/>
      <color rgb="FF3F3F3F"/>
      <name val="Calibri"/>
      <scheme val="minor"/>
    </font>
    <font>
      <sz val="11"/>
      <color rgb="FFFA7D00"/>
      <name val="Calibri"/>
      <scheme val="minor"/>
    </font>
    <font>
      <b/>
      <sz val="11"/>
      <color rgb="FFFA7D00"/>
      <name val="Calibri"/>
      <scheme val="minor"/>
    </font>
    <font>
      <sz val="11"/>
      <color rgb="FF9C650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" fillId="5" borderId="0">
      <alignment vertical="center"/>
    </xf>
    <xf numFmtId="176" fontId="1" fillId="0" borderId="0">
      <alignment vertical="center"/>
    </xf>
    <xf numFmtId="177" fontId="1" fillId="0" borderId="0">
      <alignment vertical="center"/>
    </xf>
    <xf numFmtId="42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0" fontId="11" fillId="6" borderId="5">
      <alignment vertical="center"/>
    </xf>
    <xf numFmtId="0" fontId="8" fillId="0" borderId="2">
      <alignment vertical="center"/>
    </xf>
    <xf numFmtId="0" fontId="1" fillId="3" borderId="3">
      <alignment vertical="center"/>
    </xf>
    <xf numFmtId="0" fontId="7" fillId="0" borderId="0">
      <alignment vertical="center"/>
    </xf>
    <xf numFmtId="0" fontId="12" fillId="9" borderId="0">
      <alignment vertical="center"/>
    </xf>
    <xf numFmtId="0" fontId="13" fillId="0" borderId="0">
      <alignment vertical="center"/>
    </xf>
    <xf numFmtId="0" fontId="1" fillId="12" borderId="0">
      <alignment vertical="center"/>
    </xf>
    <xf numFmtId="0" fontId="9" fillId="0" borderId="0">
      <alignment vertical="center"/>
    </xf>
    <xf numFmtId="0" fontId="1" fillId="15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2">
      <alignment vertical="center"/>
    </xf>
    <xf numFmtId="0" fontId="14" fillId="0" borderId="6">
      <alignment vertical="center"/>
    </xf>
    <xf numFmtId="0" fontId="14" fillId="0" borderId="0">
      <alignment vertical="center"/>
    </xf>
    <xf numFmtId="0" fontId="6" fillId="2" borderId="1">
      <alignment vertical="center"/>
    </xf>
    <xf numFmtId="0" fontId="12" fillId="18" borderId="0">
      <alignment vertical="center"/>
    </xf>
    <xf numFmtId="0" fontId="19" fillId="21" borderId="0">
      <alignment vertical="center"/>
    </xf>
    <xf numFmtId="0" fontId="20" fillId="22" borderId="7">
      <alignment vertical="center"/>
    </xf>
    <xf numFmtId="0" fontId="1" fillId="25" borderId="0">
      <alignment vertical="center"/>
    </xf>
    <xf numFmtId="0" fontId="22" fillId="22" borderId="1">
      <alignment vertical="center"/>
    </xf>
    <xf numFmtId="0" fontId="21" fillId="0" borderId="8">
      <alignment vertical="center"/>
    </xf>
    <xf numFmtId="0" fontId="10" fillId="0" borderId="4">
      <alignment vertical="center"/>
    </xf>
    <xf numFmtId="0" fontId="18" fillId="17" borderId="0">
      <alignment vertical="center"/>
    </xf>
    <xf numFmtId="0" fontId="23" fillId="28" borderId="0">
      <alignment vertical="center"/>
    </xf>
    <xf numFmtId="0" fontId="12" fillId="27" borderId="0">
      <alignment vertical="center"/>
    </xf>
    <xf numFmtId="0" fontId="1" fillId="20" borderId="0">
      <alignment vertical="center"/>
    </xf>
    <xf numFmtId="0" fontId="12" fillId="8" borderId="0">
      <alignment vertical="center"/>
    </xf>
    <xf numFmtId="0" fontId="12" fillId="16" borderId="0">
      <alignment vertical="center"/>
    </xf>
    <xf numFmtId="0" fontId="1" fillId="24" borderId="0">
      <alignment vertical="center"/>
    </xf>
    <xf numFmtId="0" fontId="1" fillId="29" borderId="0">
      <alignment vertical="center"/>
    </xf>
    <xf numFmtId="0" fontId="12" fillId="7" borderId="0">
      <alignment vertical="center"/>
    </xf>
    <xf numFmtId="0" fontId="12" fillId="11" borderId="0">
      <alignment vertical="center"/>
    </xf>
    <xf numFmtId="0" fontId="1" fillId="26" borderId="0">
      <alignment vertical="center"/>
    </xf>
    <xf numFmtId="0" fontId="12" fillId="14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2" fillId="13" borderId="0">
      <alignment vertical="center"/>
    </xf>
    <xf numFmtId="0" fontId="1" fillId="4" borderId="0">
      <alignment vertical="center"/>
    </xf>
    <xf numFmtId="0" fontId="12" fillId="10" borderId="0">
      <alignment vertical="center"/>
    </xf>
    <xf numFmtId="0" fontId="12" fillId="30" borderId="0">
      <alignment vertical="center"/>
    </xf>
    <xf numFmtId="0" fontId="1" fillId="31" borderId="0">
      <alignment vertical="center"/>
    </xf>
    <xf numFmtId="0" fontId="12" fillId="32" borderId="0">
      <alignment vertical="center"/>
    </xf>
  </cellStyleXfs>
  <cellXfs count="66">
    <xf numFmtId="0" applyNumberFormat="1" fontId="0" applyFont="1" fillId="0" applyFill="1" borderId="0" applyBorder="1" xfId="0"/>
    <xf numFmtId="0" applyNumberFormat="1" fontId="1" applyFont="1" fillId="5" applyFill="1" borderId="0" applyBorder="1" xfId="1">
      <alignment vertical="center"/>
    </xf>
    <xf numFmtId="176" applyNumberFormat="1" fontId="1" applyFont="1" fillId="0" applyFill="1" borderId="0" applyBorder="1" xfId="2">
      <alignment vertical="center"/>
    </xf>
    <xf numFmtId="177" applyNumberFormat="1" fontId="1" applyFont="1" fillId="0" applyFill="1" borderId="0" applyBorder="1" xfId="3">
      <alignment vertical="center"/>
    </xf>
    <xf numFmtId="42" applyNumberFormat="1" fontId="1" applyFont="1" fillId="0" applyFill="1" borderId="0" applyBorder="1" xfId="4">
      <alignment vertical="center"/>
    </xf>
    <xf numFmtId="44" applyNumberFormat="1" fontId="1" applyFont="1" fillId="0" applyFill="1" borderId="0" applyBorder="1" xfId="5">
      <alignment vertical="center"/>
    </xf>
    <xf numFmtId="9" applyNumberFormat="1" fontId="1" applyFont="1" fillId="0" applyFill="1" borderId="0" applyBorder="1" xfId="6">
      <alignment vertical="center"/>
    </xf>
    <xf numFmtId="0" applyNumberFormat="1" fontId="11" applyFont="1" fillId="6" applyFill="1" borderId="5" applyBorder="1" xfId="7">
      <alignment vertical="center"/>
    </xf>
    <xf numFmtId="0" applyNumberFormat="1" fontId="8" applyFont="1" fillId="0" applyFill="1" borderId="2" applyBorder="1" xfId="8">
      <alignment vertical="center"/>
    </xf>
    <xf numFmtId="0" applyNumberFormat="1" fontId="1" applyFont="1" fillId="3" applyFill="1" borderId="3" applyBorder="1" xfId="9">
      <alignment vertical="center"/>
    </xf>
    <xf numFmtId="0" applyNumberFormat="1" fontId="7" applyFont="1" fillId="0" applyFill="1" borderId="0" applyBorder="1" xfId="10">
      <alignment vertical="center"/>
    </xf>
    <xf numFmtId="0" applyNumberFormat="1" fontId="12" applyFont="1" fillId="9" applyFill="1" borderId="0" applyBorder="1" xfId="11">
      <alignment vertical="center"/>
    </xf>
    <xf numFmtId="0" applyNumberFormat="1" fontId="13" applyFont="1" fillId="0" applyFill="1" borderId="0" applyBorder="1" xfId="12">
      <alignment vertical="center"/>
    </xf>
    <xf numFmtId="0" applyNumberFormat="1" fontId="1" applyFont="1" fillId="12" applyFill="1" borderId="0" applyBorder="1" xfId="13">
      <alignment vertical="center"/>
    </xf>
    <xf numFmtId="0" applyNumberFormat="1" fontId="9" applyFont="1" fillId="0" applyFill="1" borderId="0" applyBorder="1" xfId="14">
      <alignment vertical="center"/>
    </xf>
    <xf numFmtId="0" applyNumberFormat="1" fontId="1" applyFont="1" fillId="15" applyFill="1" borderId="0" applyBorder="1" xfId="15">
      <alignment vertical="center"/>
    </xf>
    <xf numFmtId="0" applyNumberFormat="1" fontId="15" applyFont="1" fillId="0" applyFill="1" borderId="0" applyBorder="1" xfId="16">
      <alignment vertical="center"/>
    </xf>
    <xf numFmtId="0" applyNumberFormat="1" fontId="17" applyFont="1" fillId="0" applyFill="1" borderId="0" applyBorder="1" xfId="17">
      <alignment vertical="center"/>
    </xf>
    <xf numFmtId="0" applyNumberFormat="1" fontId="16" applyFont="1" fillId="0" applyFill="1" borderId="2" applyBorder="1" xfId="18">
      <alignment vertical="center"/>
    </xf>
    <xf numFmtId="0" applyNumberFormat="1" fontId="14" applyFont="1" fillId="0" applyFill="1" borderId="6" applyBorder="1" xfId="19">
      <alignment vertical="center"/>
    </xf>
    <xf numFmtId="0" applyNumberFormat="1" fontId="14" applyFont="1" fillId="0" applyFill="1" borderId="0" applyBorder="1" xfId="20">
      <alignment vertical="center"/>
    </xf>
    <xf numFmtId="0" applyNumberFormat="1" fontId="6" applyFont="1" fillId="2" applyFill="1" borderId="1" applyBorder="1" xfId="21">
      <alignment vertical="center"/>
    </xf>
    <xf numFmtId="0" applyNumberFormat="1" fontId="12" applyFont="1" fillId="18" applyFill="1" borderId="0" applyBorder="1" xfId="22">
      <alignment vertical="center"/>
    </xf>
    <xf numFmtId="0" applyNumberFormat="1" fontId="19" applyFont="1" fillId="21" applyFill="1" borderId="0" applyBorder="1" xfId="23">
      <alignment vertical="center"/>
    </xf>
    <xf numFmtId="0" applyNumberFormat="1" fontId="20" applyFont="1" fillId="22" applyFill="1" borderId="7" applyBorder="1" xfId="24">
      <alignment vertical="center"/>
    </xf>
    <xf numFmtId="0" applyNumberFormat="1" fontId="1" applyFont="1" fillId="25" applyFill="1" borderId="0" applyBorder="1" xfId="25">
      <alignment vertical="center"/>
    </xf>
    <xf numFmtId="0" applyNumberFormat="1" fontId="22" applyFont="1" fillId="22" applyFill="1" borderId="1" applyBorder="1" xfId="26">
      <alignment vertical="center"/>
    </xf>
    <xf numFmtId="0" applyNumberFormat="1" fontId="21" applyFont="1" fillId="0" applyFill="1" borderId="8" applyBorder="1" xfId="27">
      <alignment vertical="center"/>
    </xf>
    <xf numFmtId="0" applyNumberFormat="1" fontId="10" applyFont="1" fillId="0" applyFill="1" borderId="4" applyBorder="1" xfId="28">
      <alignment vertical="center"/>
    </xf>
    <xf numFmtId="0" applyNumberFormat="1" fontId="18" applyFont="1" fillId="17" applyFill="1" borderId="0" applyBorder="1" xfId="29">
      <alignment vertical="center"/>
    </xf>
    <xf numFmtId="0" applyNumberFormat="1" fontId="23" applyFont="1" fillId="28" applyFill="1" borderId="0" applyBorder="1" xfId="30">
      <alignment vertical="center"/>
    </xf>
    <xf numFmtId="0" applyNumberFormat="1" fontId="12" applyFont="1" fillId="27" applyFill="1" borderId="0" applyBorder="1" xfId="31">
      <alignment vertical="center"/>
    </xf>
    <xf numFmtId="0" applyNumberFormat="1" fontId="1" applyFont="1" fillId="20" applyFill="1" borderId="0" applyBorder="1" xfId="32">
      <alignment vertical="center"/>
    </xf>
    <xf numFmtId="0" applyNumberFormat="1" fontId="12" applyFont="1" fillId="8" applyFill="1" borderId="0" applyBorder="1" xfId="33">
      <alignment vertical="center"/>
    </xf>
    <xf numFmtId="0" applyNumberFormat="1" fontId="12" applyFont="1" fillId="16" applyFill="1" borderId="0" applyBorder="1" xfId="34">
      <alignment vertical="center"/>
    </xf>
    <xf numFmtId="0" applyNumberFormat="1" fontId="1" applyFont="1" fillId="24" applyFill="1" borderId="0" applyBorder="1" xfId="35">
      <alignment vertical="center"/>
    </xf>
    <xf numFmtId="0" applyNumberFormat="1" fontId="1" applyFont="1" fillId="29" applyFill="1" borderId="0" applyBorder="1" xfId="36">
      <alignment vertical="center"/>
    </xf>
    <xf numFmtId="0" applyNumberFormat="1" fontId="12" applyFont="1" fillId="7" applyFill="1" borderId="0" applyBorder="1" xfId="37">
      <alignment vertical="center"/>
    </xf>
    <xf numFmtId="0" applyNumberFormat="1" fontId="12" applyFont="1" fillId="11" applyFill="1" borderId="0" applyBorder="1" xfId="38">
      <alignment vertical="center"/>
    </xf>
    <xf numFmtId="0" applyNumberFormat="1" fontId="1" applyFont="1" fillId="26" applyFill="1" borderId="0" applyBorder="1" xfId="39">
      <alignment vertical="center"/>
    </xf>
    <xf numFmtId="0" applyNumberFormat="1" fontId="12" applyFont="1" fillId="14" applyFill="1" borderId="0" applyBorder="1" xfId="40">
      <alignment vertical="center"/>
    </xf>
    <xf numFmtId="0" applyNumberFormat="1" fontId="1" applyFont="1" fillId="19" applyFill="1" borderId="0" applyBorder="1" xfId="41">
      <alignment vertical="center"/>
    </xf>
    <xf numFmtId="0" applyNumberFormat="1" fontId="1" applyFont="1" fillId="23" applyFill="1" borderId="0" applyBorder="1" xfId="42">
      <alignment vertical="center"/>
    </xf>
    <xf numFmtId="0" applyNumberFormat="1" fontId="12" applyFont="1" fillId="13" applyFill="1" borderId="0" applyBorder="1" xfId="43">
      <alignment vertical="center"/>
    </xf>
    <xf numFmtId="0" applyNumberFormat="1" fontId="1" applyFont="1" fillId="4" applyFill="1" borderId="0" applyBorder="1" xfId="44">
      <alignment vertical="center"/>
    </xf>
    <xf numFmtId="0" applyNumberFormat="1" fontId="12" applyFont="1" fillId="10" applyFill="1" borderId="0" applyBorder="1" xfId="45">
      <alignment vertical="center"/>
    </xf>
    <xf numFmtId="0" applyNumberFormat="1" fontId="12" applyFont="1" fillId="30" applyFill="1" borderId="0" applyBorder="1" xfId="46">
      <alignment vertical="center"/>
    </xf>
    <xf numFmtId="0" applyNumberFormat="1" fontId="1" applyFont="1" fillId="31" applyFill="1" borderId="0" applyBorder="1" xfId="47">
      <alignment vertical="center"/>
    </xf>
    <xf numFmtId="0" applyNumberFormat="1" fontId="12" applyFont="1" fillId="32" applyFill="1" borderId="0" applyBorder="1" xfId="48">
      <alignment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2" applyFont="1" fillId="0" applyFill="1" borderId="0" applyBorder="1" xfId="0">
      <alignment horizontal="left" vertical="center" wrapText="1"/>
    </xf>
    <xf numFmtId="0" applyNumberFormat="1" fontId="3" applyFont="1" fillId="0" applyFill="1" borderId="0" applyBorder="1" xfId="0">
      <alignment horizontal="left" vertical="center" wrapText="1"/>
    </xf>
    <xf numFmtId="0" applyNumberFormat="1" fontId="4" applyFont="1" fillId="0" applyFill="1" borderId="0" applyBorder="1" xfId="0">
      <alignment horizontal="left" vertical="center" wrapText="1"/>
    </xf>
    <xf numFmtId="0" applyNumberFormat="1" fontId="0" applyFont="1" fillId="0" applyFill="1" borderId="0" applyBorder="1" xfId="0">
      <alignment horizontal="left" vertical="center"/>
    </xf>
    <xf numFmtId="0" applyNumberFormat="1" fontId="0" applyFont="1" fillId="0" applyFill="1" borderId="0" applyBorder="1" xfId="0">
      <alignment horizontal="center" vertical="top" wrapText="1"/>
    </xf>
    <xf numFmtId="0" applyNumberFormat="1" fontId="0" applyFont="1" fillId="0" applyFill="1" borderId="0" applyBorder="1" xfId="0">
      <alignment horizontal="left"/>
    </xf>
    <xf numFmtId="22" applyNumberFormat="1" fontId="0" applyFont="1" fillId="0" applyFill="1" borderId="0" applyBorder="1" xfId="0">
      <alignment horizontal="left" indent="1"/>
    </xf>
    <xf numFmtId="0" applyNumberFormat="1" fontId="5" applyFont="1" fillId="0" applyFill="1" borderId="0" applyBorder="1" xfId="0">
      <alignment horizontal="center" vertical="top" wrapText="1"/>
    </xf>
    <xf numFmtId="0" applyNumberFormat="1" fontId="5" applyFont="1" fillId="0" applyFill="1" borderId="0" applyBorder="1" xfId="0">
      <alignment horizontal="center" vertical="top" wrapText="1"/>
    </xf>
    <xf numFmtId="39" applyNumberFormat="1" fontId="5" applyFont="1" fillId="0" applyFill="1" borderId="0" applyBorder="1" xfId="0">
      <alignment horizontal="center" vertical="top" wrapText="1"/>
    </xf>
    <xf numFmtId="39" applyNumberFormat="1" fontId="0" applyFont="1" fillId="0" applyFill="1" borderId="0" applyBorder="1" xfId="0"/>
    <xf numFmtId="4" applyNumberFormat="1" fontId="0" applyFont="1" fillId="0" applyFill="1" borderId="0" applyBorder="1" xfId="0"/>
    <xf numFmtId="4" applyNumberFormat="1" fontId="0" applyFont="1" fillId="0" applyFill="1" borderId="0" applyBorder="1" xfId="0"/>
    <xf numFmtId="178" applyNumberFormat="1" fontId="5" applyFont="1" fillId="0" applyFill="1" borderId="0" applyBorder="1" xfId="0">
      <alignment horizontal="center" vertical="top" wrapText="1"/>
    </xf>
    <xf numFmtId="180" applyNumberFormat="1" fontId="0" applyFont="1" fillId="0" applyFill="1" borderId="0" applyBorder="1" xfId="0"/>
    <xf numFmtId="4" applyNumberFormat="1" fontId="0" applyFont="1" fillId="0" applyFill="1" borderId="0" applyBorder="1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139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name val="Calibri"/>
        <scheme val="none"/>
        <b val="0"/>
        <i val="0"/>
        <strike val="0"/>
        <u val="none"/>
        <sz val="11"/>
        <color auto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178" formatCode="0.00_);[Red]\(0.00\)"/>
    </dxf>
    <dxf>
      <numFmt numFmtId="178" formatCode="0.00_);[Red]\(0.00\)"/>
    </dxf>
    <dxf>
      <numFmt numFmtId="39" formatCode="#,##0.00_);\(#,##0.00\)"/>
    </dxf>
    <dxf>
      <numFmt numFmtId="39" formatCode="#,##0.00_);\(#,##0.00\)"/>
    </dxf>
    <dxf>
      <numFmt numFmtId="178" formatCode="0.00_);[Red]\(0.00\)"/>
    </dxf>
    <dxf>
      <numFmt numFmtId="178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font>
        <b val="1"/>
      </font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numFmt numFmtId="39" formatCode="#,##0.00_);\(#,##0.00\)"/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0"/>
      </font>
      <fill>
        <patternFill patternType="none"/>
      </fill>
      <alignment horizontal="center" vertical="top" wrapText="1"/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4" formatCode="#,##0.00"/>
      <fill>
        <patternFill patternType="none"/>
      </fill>
      <border>
        <left/>
        <right/>
        <top/>
        <bottom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</dxf>
    <dxf>
      <font>
        <name val="Calibri"/>
        <scheme val="none"/>
        <b val="1"/>
        <i val="0"/>
        <u val="none"/>
        <sz val="11"/>
        <color theme="1"/>
      </font>
      <border>
        <left/>
        <right/>
        <top style="thin">
          <color auto="1"/>
        </top>
        <bottom/>
        <vertical/>
        <horizontal/>
      </border>
    </dxf>
    <dxf>
      <font>
        <name val="Calibri"/>
        <scheme val="none"/>
        <b val="1"/>
        <i val="0"/>
        <u val="none"/>
        <sz val="11"/>
        <color theme="0"/>
      </font>
      <fill>
        <patternFill patternType="solid"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Table Style 1" table="0" count="3">
      <tableStyleElement type="wholeTable" dxfId="138"/>
      <tableStyleElement type="headerRow" dxfId="137"/>
      <tableStyleElement type="totalRow" dxfId="13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OnLoad="1" createdVersion="1" refreshedVersion="5" upgradeOnRefresh="1" refreshedDate="43493.5909606482" refreshedBy="pdeng3" recordCount="15">
  <cacheSource type="worksheet">
    <worksheetSource name="Table1"/>
  </cacheSource>
  <cacheFields count="19">
    <cacheField name="TxType" numFmtId="0">
      <sharedItems containsBlank="1" count="5">
        <s v="1-Sales"/>
        <s v="2-Sales Return"/>
        <s v="3-POS Sales"/>
        <s v="4-POS Return"/>
        <m/>
      </sharedItems>
    </cacheField>
    <cacheField name="Tx ID" numFmtId="0">
      <sharedItems containsBlank="1" count="182">
        <s v="CSL-TAX-01470"/>
        <s v="CSL-TAX-01538"/>
        <s v="CSL-SR-00151"/>
        <s v="CSL-SR-00152"/>
        <s v="CSL-SR-00153"/>
        <s v="CSL-SR01-0781"/>
        <s v="CSL-SR01-0782"/>
        <s v="CSL-SR01-0783"/>
        <s v="PSRN/000002"/>
        <s v="PSRN/000003"/>
        <s v="PSRN/000004"/>
        <m/>
        <s v="CSL-TAX-01539" u="1"/>
        <s v="CSL-TAX-01541" u="1"/>
        <s v="CSL-TAX-01540" u="1"/>
        <s v="CSL-SR-00154" u="1"/>
        <s v="CSL-SR-00155" u="1"/>
        <s v="CSL-SR-00156" u="1"/>
        <s v="CSL-SR-00157" u="1"/>
        <s v="CSL-SR-00158" u="1"/>
        <s v="CSL-SR01-0784" u="1"/>
        <s v="CSL-SR03-0161" u="1"/>
        <s v="CSL-SR01-0785" u="1"/>
        <s v="CSL-SR02-0313" u="1"/>
        <s v="CSL-SR01-0786" u="1"/>
        <s v="CSL-SR01-0787" u="1"/>
        <s v="CSL-SR05-0160" u="1"/>
        <s v="CSL-SR01-0788" u="1"/>
        <s v="CSL-SR05-0161" u="1"/>
        <s v="CSL-SR01-0789" u="1"/>
        <s v="CSL-SR04-0010" u="1"/>
        <s v="PSRN/000005" u="1"/>
        <s v="PSRN/000006" u="1"/>
        <s v="CSL-TAX-01471" u="1"/>
        <s v="CSL-TAX-01472" u="1"/>
        <s v="CSL-TAX-01473" u="1"/>
        <s v="CSL-TAX-01474" u="1"/>
        <s v="CSL-TAX-01475" u="1"/>
        <s v="CSL-TAX-01476" u="1"/>
        <s v="CSL-TAX-01477" u="1"/>
        <s v="CSL-TAX-01478" u="1"/>
        <s v="CSL-TAX-01479" u="1"/>
        <s v="CSL-TAX-01480" u="1"/>
        <s v="CSL-TAX-01481" u="1"/>
        <s v="CSL-TAX-01482" u="1"/>
        <s v="CSL-TAX-01483" u="1"/>
        <s v="CSL-TAX-01485" u="1"/>
        <s v="CSL-TAX-01486" u="1"/>
        <s v="CSL-TAX-01488" u="1"/>
        <s v="CSL-TAX-01489" u="1"/>
        <s v="CSL-TAX-01490" u="1"/>
        <s v="CSL-TAX-01491" u="1"/>
        <s v="CSL-TAX-01492" u="1"/>
        <s v="CSL-TAX-01493" u="1"/>
        <s v="CSL-TAX-01494" u="1"/>
        <s v="CSL-SVAT-00009" u="1"/>
        <s v="CSL-TAX-01495" u="1"/>
        <s v="CSL-TAX-01496" u="1"/>
        <s v="CSL-TAX-01497" u="1"/>
        <s v="CSL-TAX-01498" u="1"/>
        <s v="CSL-TAX-01499" u="1"/>
        <s v="CSL-TAX-01500" u="1"/>
        <s v="CSL-TAX-01501" u="1"/>
        <s v="CSL-TAX-01502" u="1"/>
        <s v="CSL-TAX-01503" u="1"/>
        <s v="CSL-TAX-01504" u="1"/>
        <s v="CSL-TAX-01505" u="1"/>
        <s v="CSL-TAX-01506" u="1"/>
        <s v="CSL-EXP-00006" u="1"/>
        <s v="CSL-TAX-01507" u="1"/>
        <s v="CSL-TAX-01508" u="1"/>
        <s v="CSL-TAX-01509" u="1"/>
        <s v="CSL-TAX-01510" u="1"/>
        <s v="CSL-TAX-01511" u="1"/>
        <s v="CSL-TAX-01512" u="1"/>
        <s v="CSL-TAX-01513" u="1"/>
        <s v="CSL-TAX-01514" u="1"/>
        <s v="CSL-TAX-01515" u="1"/>
        <s v="CSL-TAX-01516" u="1"/>
        <s v="CSL-TAX-01517" u="1"/>
        <s v="CSL-TAX-01518" u="1"/>
        <s v="CSL-TAX-01519" u="1"/>
        <s v="CSL-TAX-01520" u="1"/>
        <s v="CSL-TAX-01521" u="1"/>
        <s v="CSL-TAX-01522" u="1"/>
        <s v="CSL-TAX-01523" u="1"/>
        <s v="CSL-TAX-01524" u="1"/>
        <s v="CSL-TAX-01525" u="1"/>
        <s v="CSL-TAX-01526" u="1"/>
        <s v="CSL-TAX-01527" u="1"/>
        <s v="CSL-TAX-01528" u="1"/>
        <s v="CSL-TAX-01529" u="1"/>
        <s v="CSL-TAX-01531" u="1"/>
        <s v="CSL-TAX-01530" u="1"/>
        <s v="CSL-TAX-01532" u="1"/>
        <s v="CSL-TAX-01533" u="1"/>
        <s v="CSL-TAX-01534" u="1"/>
        <s v="CSL-TAX-01535" u="1"/>
        <s v="CSL-TAX-01536" u="1"/>
        <s v="CSL-TAX-01537" u="1"/>
        <s v="CSL-SR01-0735" u="1"/>
        <s v="CSL-SR01-0737" u="1"/>
        <s v="CSL-SR01-0738" u="1"/>
        <s v="CSL-SR01-0739" u="1"/>
        <s v="CSL-SR02-0282" u="1"/>
        <s v="CSL-SR02-0283" u="1"/>
        <s v="CSL-SR01-0740" u="1"/>
        <s v="CSL-SR02-0284" u="1"/>
        <s v="CSL-SR01-0741" u="1"/>
        <s v="CSL-SR02-0286" u="1"/>
        <s v="CSL-SR02-0287" u="1"/>
        <s v="CSL-SR02-0288" u="1"/>
        <s v="CSL-SR02-0289" u="1"/>
        <s v="CSL-SR03-0157" u="1"/>
        <s v="CSL-SR01-0742" u="1"/>
        <s v="CSL-SR02-0290" u="1"/>
        <s v="CSL-SR03-0158" u="1"/>
        <s v="CSL-SR01-0743" u="1"/>
        <s v="CSL-SR02-0291" u="1"/>
        <s v="CSL-SR01-0745" u="1"/>
        <s v="CSL-SR01-0746" u="1"/>
        <s v="CSL-SR01-0747" u="1"/>
        <s v="CSL-SR02-0292" u="1"/>
        <s v="CSL-SR01-0748" u="1"/>
        <s v="CSL-SR01-0749" u="1"/>
        <s v="CSL-SR01-0750" u="1"/>
        <s v="CSL-SR01-0751" u="1"/>
        <s v="CSL-SR01-0752" u="1"/>
        <s v="CSL-SR01-0753" u="1"/>
        <s v="CSL-SR01-0754" u="1"/>
        <s v="CSL-SR01-0755" u="1"/>
        <s v="CSL-SR01-0756" u="1"/>
        <s v="CSL-SR01-0757" u="1"/>
        <s v="CSL-SR01-0758" u="1"/>
        <s v="CSL-SR05-0155" u="1"/>
        <s v="CSL-SR01-0759" u="1"/>
        <s v="CSL-SR02-0293" u="1"/>
        <s v="CSL-SR01-0760" u="1"/>
        <s v="CSL-SR01-0761" u="1"/>
        <s v="CSL-SR01-0762" u="1"/>
        <s v="CSL-SR05-0156" u="1"/>
        <s v="CSL-SR01-0763" u="1"/>
        <s v="CSL-SR02-0294" u="1"/>
        <s v="CSL-SR01-0764" u="1"/>
        <s v="CSL-SR02-0295" u="1"/>
        <s v="CSL-SR01-0765" u="1"/>
        <s v="CSL-SR01-0766" u="1"/>
        <s v="CSL-SR02-0296" u="1"/>
        <s v="CSL-SR01-0767" u="1"/>
        <s v="CSL-SR01-0768" u="1"/>
        <s v="CSL-SR01-0769" u="1"/>
        <s v="CSL-SR02-0297" u="1"/>
        <s v="CSL-SR02-0298" u="1"/>
        <s v="CSL-SR01-0770" u="1"/>
        <s v="CSL-SR02-0299" u="1"/>
        <s v="CSL-SR03-0159" u="1"/>
        <s v="CSL-SR01-0771" u="1"/>
        <s v="CSL-SR02-0300" u="1"/>
        <s v="CSL-SR01-0772" u="1"/>
        <s v="CSL-SR02-0301" u="1"/>
        <s v="CSL-SR02-0302" u="1"/>
        <s v="CSL-SR02-0304" u="1"/>
        <s v="CSL-SR02-0305" u="1"/>
        <s v="CSL-SR02-0306" u="1"/>
        <s v="CSL-SR05-0157" u="1"/>
        <s v="CSL-SR01-0773" u="1"/>
        <s v="CSL-SR02-0307" u="1"/>
        <s v="CSL-SR02-0308" u="1"/>
        <s v="CSL-SR01-0774" u="1"/>
        <s v="CSL-SR03-0160" u="1"/>
        <s v="CSL-SR05-0158" u="1"/>
        <s v="CSL-SR01-0775" u="1"/>
        <s v="CSL-SR02-0309" u="1"/>
        <s v="CSL-SR01-0776" u="1"/>
        <s v="CSL-SR01-0777" u="1"/>
        <s v="CSL-SR02-0310" u="1"/>
        <s v="CSL-SR01-0778" u="1"/>
        <s v="CSL-SR05-0159" u="1"/>
        <s v="CSL-SR02-0311" u="1"/>
        <s v="CSL-SR01-0779" u="1"/>
        <s v="CSL-SR02-0312" u="1"/>
        <s v="CSL-SR01-0780" u="1"/>
      </sharedItems>
    </cacheField>
    <cacheField name="TxDate" numFmtId="0">
      <sharedItems containsString="0" containsBlank="1" containsNonDate="0" containsDate="1" minDate="2018-11-09T10:05:57" maxDate="2018-11-14T15:14:38" count="182">
        <d v="2018-11-09T10:19:27"/>
        <d v="2018-11-13T11:59:10"/>
        <d v="2018-11-12T09:07:30"/>
        <d v="2018-11-12T09:10:43"/>
        <d v="2018-11-12T09:12:19"/>
        <d v="2018-11-12T15:38:12"/>
        <d v="2018-11-12T15:52:27"/>
        <d v="2018-11-12T17:24:23"/>
        <d v="2018-11-09T12:56:21"/>
        <d v="2018-11-09T13:24:49"/>
        <d v="2018-11-10T16:25:49"/>
        <m/>
        <d v="2018-11-13T12:00:42" u="1"/>
        <d v="2018-11-13T12:02:30" u="1"/>
        <d v="2018-11-13T12:02:43" u="1"/>
        <d v="2018-11-12T09:17:05" u="1"/>
        <d v="2018-11-12T09:22:59" u="1"/>
        <d v="2018-11-12T09:26:43" u="1"/>
        <d v="2018-11-12T09:33:00" u="1"/>
        <d v="2018-11-12T09:35:22" u="1"/>
        <d v="2018-11-12T17:49:00" u="1"/>
        <d v="2018-11-13T09:24:50" u="1"/>
        <d v="2018-11-13T10:09:30" u="1"/>
        <d v="2018-11-13T11:06:09" u="1"/>
        <d v="2018-11-13T11:35:20" u="1"/>
        <d v="2018-11-13T11:43:00" u="1"/>
        <d v="2018-11-13T11:48:46" u="1"/>
        <d v="2018-11-13T11:56:23" u="1"/>
        <d v="2018-11-13T12:15:01" u="1"/>
        <d v="2018-11-13T12:54:07" u="1"/>
        <d v="2018-11-14T14:56:14" u="1"/>
        <d v="2018-11-13T12:15:20" u="1"/>
        <d v="2018-11-14T15:14:38" u="1"/>
        <d v="2018-11-09T13:20:53" u="1"/>
        <d v="2018-11-09T13:25:15" u="1"/>
        <d v="2018-11-09T13:27:05" u="1"/>
        <d v="2018-11-09T13:28:04" u="1"/>
        <d v="2018-11-09T14:05:41" u="1"/>
        <d v="2018-11-09T14:08:25" u="1"/>
        <d v="2018-11-09T14:09:39" u="1"/>
        <d v="2018-11-09T14:11:04" u="1"/>
        <d v="2018-11-09T14:14:45" u="1"/>
        <d v="2018-11-09T14:16:36" u="1"/>
        <d v="2018-11-09T14:17:11" u="1"/>
        <d v="2018-11-09T14:18:16" u="1"/>
        <d v="2018-11-09T14:20:50" u="1"/>
        <d v="2018-11-09T14:26:45" u="1"/>
        <d v="2018-11-09T14:27:25" u="1"/>
        <d v="2018-11-09T14:36:01" u="1"/>
        <d v="2018-11-09T14:37:10" u="1"/>
        <d v="2018-11-09T14:37:49" u="1"/>
        <d v="2018-11-09T14:43:06" u="1"/>
        <d v="2018-11-09T15:27:06" u="1"/>
        <d v="2018-11-09T16:33:02" u="1"/>
        <d v="2018-11-10T10:47:42" u="1"/>
        <d v="2018-11-10T11:01:08" u="1"/>
        <d v="2018-11-10T11:21:44" u="1"/>
        <d v="2018-11-10T12:03:52" u="1"/>
        <d v="2018-11-10T13:18:26" u="1"/>
        <d v="2018-11-12T08:59:09" u="1"/>
        <d v="2018-11-12T09:01:12" u="1"/>
        <d v="2018-11-12T09:13:18" u="1"/>
        <d v="2018-11-12T09:17:15" u="1"/>
        <d v="2018-11-12T09:19:34" u="1"/>
        <d v="2018-11-12T10:49:48" u="1"/>
        <d v="2018-11-12T13:13:31" u="1"/>
        <d v="2018-11-12T14:19:57" u="1"/>
        <d v="2018-11-12T14:40:12" u="1"/>
        <d v="2018-11-12T14:51:48" u="1"/>
        <d v="2018-11-12T15:31:46" u="1"/>
        <d v="2018-11-12T15:39:47" u="1"/>
        <d v="2018-11-12T15:41:02" u="1"/>
        <d v="2018-11-12T16:02:45" u="1"/>
        <d v="2018-11-12T16:04:22" u="1"/>
        <d v="2018-11-12T16:46:32" u="1"/>
        <d v="2018-11-13T09:04:02" u="1"/>
        <d v="2018-11-13T09:27:55" u="1"/>
        <d v="2018-11-13T09:30:15" u="1"/>
        <d v="2018-11-13T09:36:21" u="1"/>
        <d v="2018-11-13T09:37:37" u="1"/>
        <d v="2018-11-13T09:38:55" u="1"/>
        <d v="2018-11-13T09:44:38" u="1"/>
        <d v="2018-11-13T09:46:12" u="1"/>
        <d v="2018-11-13T09:48:25" u="1"/>
        <d v="2018-11-13T10:10:53" u="1"/>
        <d v="2018-11-13T10:22:35" u="1"/>
        <d v="2018-11-13T10:59:39" u="1"/>
        <d v="2018-11-13T11:07:15" u="1"/>
        <d v="2018-11-13T11:08:15" u="1"/>
        <d v="2018-11-13T11:28:03" u="1"/>
        <d v="2018-11-13T11:32:42" u="1"/>
        <d v="2018-11-13T11:35:41" u="1"/>
        <d v="2018-11-13T11:36:17" u="1"/>
        <d v="2018-11-13T11:36:57" u="1"/>
        <d v="2018-11-13T11:41:33" u="1"/>
        <d v="2018-11-13T11:42:55" u="1"/>
        <d v="2018-11-13T11:43:26" u="1"/>
        <d v="2018-11-13T11:44:44" u="1"/>
        <d v="2018-11-13T11:56:06" u="1"/>
        <d v="2018-11-13T11:58:04" u="1"/>
        <d v="2018-11-09T10:05:57" u="1"/>
        <d v="2018-11-09T10:45:40" u="1"/>
        <d v="2018-11-09T11:00:45" u="1"/>
        <d v="2018-11-09T11:17:58" u="1"/>
        <d v="2018-11-09T11:44:42" u="1"/>
        <d v="2018-11-09T11:47:32" u="1"/>
        <d v="2018-11-09T11:51:43" u="1"/>
        <d v="2018-11-09T11:54:51" u="1"/>
        <d v="2018-11-09T12:13:40" u="1"/>
        <d v="2018-11-09T12:16:27" u="1"/>
        <d v="2018-11-09T12:20:07" u="1"/>
        <d v="2018-11-09T12:23:18" u="1"/>
        <d v="2018-11-09T12:34:10" u="1"/>
        <d v="2018-11-09T12:37:39" u="1"/>
        <d v="2018-11-09T12:45:59" u="1"/>
        <d v="2018-11-09T12:55:24" u="1"/>
        <d v="2018-11-09T13:02:57" u="1"/>
        <d v="2018-11-09T13:16:49" u="1"/>
        <d v="2018-11-09T13:36:44" u="1"/>
        <d v="2018-11-09T14:03:55" u="1"/>
        <d v="2018-11-09T14:24:05" u="1"/>
        <d v="2018-11-09T14:27:58" u="1"/>
        <d v="2018-11-09T14:36:02" u="1"/>
        <d v="2018-11-09T15:35:16" u="1"/>
        <d v="2018-11-09T16:17:50" u="1"/>
        <d v="2018-11-09T16:24:55" u="1"/>
        <d v="2018-11-09T16:28:42" u="1"/>
        <d v="2018-11-09T16:45:59" u="1"/>
        <d v="2018-11-09T17:09:23" u="1"/>
        <d v="2018-11-09T17:20:42" u="1"/>
        <d v="2018-11-09T17:43:03" u="1"/>
        <d v="2018-11-10T10:20:41" u="1"/>
        <d v="2018-11-10T10:24:33" u="1"/>
        <d v="2018-11-10T10:39:23" u="1"/>
        <d v="2018-11-10T11:02:13" u="1"/>
        <d v="2018-11-10T11:46:14" u="1"/>
        <d v="2018-11-10T12:08:07" u="1"/>
        <d v="2018-11-10T12:11:44" u="1"/>
        <d v="2018-11-10T12:20:38" u="1"/>
        <d v="2018-11-10T12:36:36" u="1"/>
        <d v="2018-11-10T12:38:17" u="1"/>
        <d v="2018-11-10T13:03:03" u="1"/>
        <d v="2018-11-10T13:06:20" u="1"/>
        <d v="2018-11-10T13:17:16" u="1"/>
        <d v="2018-11-10T13:35:09" u="1"/>
        <d v="2018-11-10T14:05:50" u="1"/>
        <d v="2018-11-10T14:09:37" u="1"/>
        <d v="2018-11-10T14:14:37" u="1"/>
        <d v="2018-11-10T14:23:28" u="1"/>
        <d v="2018-11-10T16:21:26" u="1"/>
        <d v="2018-11-10T16:28:54" u="1"/>
        <d v="2018-11-10T16:32:53" u="1"/>
        <d v="2018-11-10T16:34:53" u="1"/>
        <d v="2018-11-10T16:59:41" u="1"/>
        <d v="2018-11-10T17:12:17" u="1"/>
        <d v="2018-11-10T17:21:38" u="1"/>
        <d v="2018-11-10T17:53:25" u="1"/>
        <d v="2018-11-11T10:51:04" u="1"/>
        <d v="2018-11-11T11:57:06" u="1"/>
        <d v="2018-11-11T12:16:03" u="1"/>
        <d v="2018-11-11T12:23:34" u="1"/>
        <d v="2018-11-11T14:29:26" u="1"/>
        <d v="2018-11-11T14:37:07" u="1"/>
        <d v="2018-11-11T14:44:00" u="1"/>
        <d v="2018-11-11T15:59:50" u="1"/>
        <d v="2018-11-11T16:00:39" u="1"/>
        <d v="2018-11-11T16:21:40" u="1"/>
        <d v="2018-11-11T16:28:45" u="1"/>
        <d v="2018-11-12T10:24:05" u="1"/>
        <d v="2018-11-12T10:47:30" u="1"/>
        <d v="2018-11-12T11:16:29" u="1"/>
        <d v="2018-11-12T11:21:56" u="1"/>
        <d v="2018-11-12T11:41:06" u="1"/>
        <d v="2018-11-12T11:47:52" u="1"/>
        <d v="2018-11-12T12:08:54" u="1"/>
        <d v="2018-11-12T12:20:34" u="1"/>
        <d v="2018-11-12T12:27:13" u="1"/>
        <d v="2018-11-12T12:29:50" u="1"/>
        <d v="2018-11-12T13:34:31" u="1"/>
        <d v="2018-11-12T13:36:43" u="1"/>
        <d v="2018-11-12T14:16:33" u="1"/>
        <d v="2018-11-12T14:18:53" u="1"/>
      </sharedItems>
    </cacheField>
    <cacheField name="SalesRep" numFmtId="0">
      <sharedItems containsBlank="1" count="14">
        <s v=""/>
        <s v="MALITH"/>
        <s v="J.THUSHAN"/>
        <s v="PREMALI"/>
        <m/>
        <s v="DULIP" u="1"/>
        <s v="PENDING ....." u="1"/>
        <s v="SAGARA" u="1"/>
        <s v="KAMAL" u="1"/>
        <s v="JAYAPRASAD" u="1"/>
        <s v="THUSHAN" u="1"/>
        <s v="ASELA MENDIS" u="1"/>
        <s v="PRABHATH" u="1"/>
        <s v="HARSHA" u="1"/>
      </sharedItems>
    </cacheField>
    <cacheField name="Customer" numFmtId="0">
      <sharedItems containsBlank="1" count="62">
        <s v="STAFF SALE -THISAL ARUNYA EPF 664"/>
        <s v="RICHARD PIERIS DISTRIBUTORS LTD"/>
        <s v="KANDY FASHION-KADAWATHA"/>
        <s v="VILLAS BY TARU"/>
        <s v="-"/>
        <s v="CASH  CRESCAT"/>
        <m/>
        <s v="TRILLIUM PROPERTY MANAGEMENT &amp; SERVICE LTD" u="1"/>
        <s v="NAWALA CUSHION WORKS" u="1"/>
        <s v="SAVNO SUPER CENTER" u="1"/>
        <s v="SAMPLE - MR KAMAL" u="1"/>
        <s v="ADIKARI MULTI PALACE" u="1"/>
        <s v="ELEGANT SMOCKERS" u="1"/>
        <s v="GALLE FACE HOTEL 1994 (PVT) LTD" u="1"/>
        <s v="MOMMY'S DESIGNER BOUTIQUE" u="1"/>
        <s v="THE BABY ROOM" u="1"/>
        <s v="BABY AND MAMA (PVT) LTD" u="1"/>
        <s v="NIROMI TRADE CENTRE  (PVT) LTD" u="1"/>
        <s v="THE RIVER EDGE" u="1"/>
        <s v="ASB FASHION (PVT) LTD" u="1"/>
        <s v="HANTS DISTRIBUTORS (PVT) LTD" u="1"/>
        <s v="SURIYA HOME DECOR  (PVT) LTD" u="1"/>
        <s v="FABRIC MART" u="1"/>
        <s v="CEYLON TOBACCO COMPANY PLC" u="1"/>
        <s v="THILAKAWARDHANA TEXTILES CHAINS (PVT) LTD" u="1"/>
        <s v="STAFF SALE-THUSHARA WIMALARATHNE-EPF 607" u="1"/>
        <s v="THE ARGYLE VILLAS (PVT) LTD" u="1"/>
        <s v="STAFF SALE - MS. K . MANJULA NADEESHANI SILVA - EMP # 709" u="1"/>
        <s v="NISACO" u="1"/>
        <s v="CASH SALE - MR. THUSHAN" u="1"/>
        <s v="IC COLLECTION (PVT) LTD," u="1"/>
        <s v="THE CENTRAL HOSPITAL" u="1"/>
        <s v="CASH SALES - SEEDUWA SHOWROOM - MS. SHANTHA" u="1"/>
        <s v="NATIONAL WATER SUPPLY &amp; DRINAGE BOARD" u="1"/>
        <s v="UKC VENTURES (PVT) LTD" u="1"/>
        <s v="SWEET LANKA" u="1"/>
        <s v="AKIRI ENTERPRISES PVT LTD" u="1"/>
        <s v="CASH SALE - MR. PRABATH - EMP 685" u="1"/>
        <s v="EMERALD BAY HOTELS (PVT) LTD" u="1"/>
        <s v="SILVER TEXTILES" u="1"/>
        <s v="CASH SALES – NAWALA SHOWROOM – MRS. DAHAMI" u="1"/>
        <s v="CASH SALES - NAWALA SHOWROOM - MRS. MALIKA SIRISENA" u="1"/>
        <s v="CASH SALE - MRS.PREMALI" u="1"/>
        <s v="SINGER (SRI LANKA) PLC" u="1"/>
        <s v="WILD COAST LODGE (PVT) LTD" u="1"/>
        <s v="L.H.WARANAPALA BROTHERS AND AGENCIES" u="1"/>
        <s v="GARMENTS GLOBAL SOLUTION (PVT) LTD" u="1"/>
        <s v="ASOK TRADERS" u="1"/>
        <s v="KOTUWE KADE (PVT) LTD" u="1"/>
        <s v="SEEDEVI TRADERS" u="1"/>
        <s v="DINESHA CURTAIN CENTER" u="1"/>
        <s v="JAYANISHA FURNITURE" u="1"/>
        <s v="MALLIKARACHCHI FURNITURE" u="1"/>
        <s v="SISURU BOWA CENTRE (PVT) LTD" u="1"/>
        <s v="SAMACO CITY" u="1"/>
        <s v="NEW CHANDRA STORES" u="1"/>
        <s v="LAMA HOTEL SUPPLIES (PVT) LTD" u="1"/>
        <s v="MR.ARJUNA" u="1"/>
        <s v="MR.PAVITHRA" u="1"/>
        <s v="CHEQUE SALES - NAWALA SHOWROOM – CEYLON TIMBER CORPORATION" u="1"/>
        <s v="CASH  GALLE" u="1"/>
        <s v="THE PARTIZAN HOTEL_x000a_" u="1"/>
      </sharedItems>
    </cacheField>
    <cacheField name="CustomerType" numFmtId="0">
      <sharedItems containsBlank="1" count="13">
        <s v="STAFF SALE"/>
        <s v="ARPICO"/>
        <s v="GENERAL TRADE"/>
        <s v="DIRECT SALE - SEEDUWA SR"/>
        <s v="default"/>
        <s v="OTHER"/>
        <m/>
        <s v="HOTELS" u="1"/>
        <s v="HOSPITAL" u="1"/>
        <s v="SHOWROOM - SEEDUWA" u="1"/>
        <s v="EXPORT" u="1"/>
        <s v="SHOWROOM - NAWALA" u="1"/>
        <s v="MODERN TRADE" u="1"/>
      </sharedItems>
    </cacheField>
    <cacheField name="CustomerCategory" numFmtId="0">
      <sharedItems containsBlank="1" count="11">
        <s v="STAFF SALE"/>
        <s v="DEALER NETWORK"/>
        <s v="SHOWROOMS"/>
        <s v="default"/>
        <s v="OTHER"/>
        <m/>
        <s v="COLOMBO" u="1"/>
        <s v="SOUTH" u="1"/>
        <s v="GENERAL" u="1"/>
        <s v="EXPORT" u="1"/>
        <s v="DOWN SOUTH" u="1"/>
      </sharedItems>
    </cacheField>
    <cacheField name="Item ID" numFmtId="0">
      <sharedItems containsBlank="1" count="177">
        <s v="ITM/000780"/>
        <s v="ITM/001970"/>
        <s v="ITM/000650"/>
        <s v="ITM/001571"/>
        <s v="ITM/003053"/>
        <s v="ITM/003430"/>
        <s v="ITM/002580"/>
        <s v="ITM/000629"/>
        <s v="ITM/001552"/>
        <s v="ITM/000429"/>
        <s v="ITM/001554"/>
        <s v="ITM/001473"/>
        <s v="ITM/001489"/>
        <m/>
        <s v="ITM/000927" u="1"/>
        <s v="ITM/000772" u="1"/>
        <s v="ITM/001966" u="1"/>
        <s v="ITM/001293" u="1"/>
        <s v="ITM/000043" u="1"/>
        <s v="ITM/000042" u="1"/>
        <s v="ITM/000044" u="1"/>
        <s v="ITM/001116" u="1"/>
        <s v="ITM/000887" u="1"/>
        <s v="ITM/000865" u="1"/>
        <s v="ITM/002276" u="1"/>
        <s v="ITM/001408" u="1"/>
        <s v="ITM/001119" u="1"/>
        <s v="ITM/000741" u="1"/>
        <s v="ITM/001400" u="1"/>
        <s v="ITM/000413" u="1"/>
        <s v="ITM/000874" u="1"/>
        <s v="ITM/000615" u="1"/>
        <s v="ITM/001480" u="1"/>
        <s v="ITM/001553" u="1"/>
        <s v="ITM/003321" u="1"/>
        <s v="ITM/002577" u="1"/>
        <s v="ITM/002095" u="1"/>
        <s v="ITM/000981" u="1"/>
        <s v="ITM/000992" u="1"/>
        <s v="ITM/001392" u="1"/>
        <s v="ITM/003320" u="1"/>
        <s v="ITM/000035" u="1"/>
        <s v="ITM/000428" u="1"/>
        <s v="ITM/001533" u="1"/>
        <s v="ITM/001570" u="1"/>
        <s v="ITM/001365" u="1"/>
        <s v="ITM/003503" u="1"/>
        <s v="ITM/003504" u="1"/>
        <s v="ITM/000625" u="1"/>
        <s v="ITM/000021" u="1"/>
        <s v="ITM/000018" u="1"/>
        <s v="ITM/000022" u="1"/>
        <s v="ITM/000920" u="1"/>
        <s v="ITM/001368" u="1"/>
        <s v="ITM/001367" u="1"/>
        <s v="ITM/001366" u="1"/>
        <s v="ITM/001354" u="1"/>
        <s v="ITM/000116" u="1"/>
        <s v="ITM/001574" u="1"/>
        <s v="ITM/001150" u="1"/>
        <s v="ITM/001083" u="1"/>
        <s v="ITM/000041" u="1"/>
        <s v="ITM/000020" u="1"/>
        <s v="ITM/000023" u="1"/>
        <s v="ITM/001398" u="1"/>
        <s v="ITM/001355" u="1"/>
        <s v="ITM/000209" u="1"/>
        <s v="ITM/000640" u="1"/>
        <s v="ITM/000660" u="1"/>
        <s v="ITM/003486" u="1"/>
        <s v="ITM/000066" u="1"/>
        <s v="ITM/000067" u="1"/>
        <s v="ITM/003487" u="1"/>
        <s v="ITM/003488" u="1"/>
        <s v="ITM/003489" u="1"/>
        <s v="ITM/003490" u="1"/>
        <s v="ITM/003491" u="1"/>
        <s v="ITM/000114" u="1"/>
        <s v="ITM/003492" u="1"/>
        <s v="ITM/003493" u="1"/>
        <s v="ITM/003494" u="1"/>
        <s v="ITM/003495" u="1"/>
        <s v="ITM/003496" u="1"/>
        <s v="ITM/003497" u="1"/>
        <s v="ITM/003498" u="1"/>
        <s v="ITM/003499" u="1"/>
        <s v="ITM/000671" u="1"/>
        <s v="ITM/000151" u="1"/>
        <s v="ITM/000152" u="1"/>
        <s v="ITM/003500" u="1"/>
        <s v="ITM/003501" u="1"/>
        <s v="ITM/000341" u="1"/>
        <s v="ITM/000343" u="1"/>
        <s v="ITM/000210" u="1"/>
        <s v="ITM/001356" u="1"/>
        <s v="ITM/000361" u="1"/>
        <s v="ITM/001559" u="1"/>
        <s v="ITM/000058" u="1"/>
        <s v="ITM/001751" u="1"/>
        <s v="ITM/001319" u="1"/>
        <s v="ITM/001399" u="1"/>
        <s v="ITM/001419" u="1"/>
        <s v="ITM/003506" u="1"/>
        <s v="ITM/003507" u="1"/>
        <s v="ITM/000681" u="1"/>
        <s v="ITM/001139" u="1"/>
        <s v="ITM/003485" u="1"/>
        <s v="ITM/003472" u="1"/>
        <s v="ITM/001447" u="1"/>
        <s v="ITM/001488" u="1"/>
        <s v="ITM/003355" u="1"/>
        <s v="ITM/000791" u="1"/>
        <s v="ITM/001117" u="1"/>
        <s v="ITM/001390" u="1"/>
        <s v="ITM/001487" u="1"/>
        <s v="ITM/000855" u="1"/>
        <s v="ITM/000407" u="1"/>
        <s v="ITM/000779" u="1"/>
        <s v="ITM/002462" u="1"/>
        <s v="ITM/001007" u="1"/>
        <s v="ITM/000969" u="1"/>
        <s v="ITM/000977" u="1"/>
        <s v="ITM/000883" u="1"/>
        <s v="ITM/002474" u="1"/>
        <s v="ITM/000932" u="1"/>
        <s v="ITM/000944" u="1"/>
        <s v="ITM/000679" u="1"/>
        <s v="ITM/000788" u="1"/>
        <s v="ITM/000936" u="1"/>
        <s v="ITM/001430" u="1"/>
        <s v="ITM/001418" u="1"/>
        <s v="ITM/001410" u="1"/>
        <s v="ITM/002158" u="1"/>
        <s v="ITM/002156" u="1"/>
        <s v="ITM/001451" u="1"/>
        <s v="ITM/001420" u="1"/>
        <s v="ITM/001108" u="1"/>
        <s v="ITM/000907" u="1"/>
        <s v="ITM/001458" u="1"/>
        <s v="ITM/002575" u="1"/>
        <s v="ITM/000790" u="1"/>
        <s v="ITM/000840" u="1"/>
        <s v="ITM/001468" u="1"/>
        <s v="ITM/001526" u="1"/>
        <s v="ITM/003317" u="1"/>
        <s v="ITM/003325" u="1"/>
        <s v="ITM/001449" u="1"/>
        <s v="ITM/001381" u="1"/>
        <s v="ITM/000835" u="1"/>
        <s v="ITM/000784" u="1"/>
        <s v="ITM/002576" u="1"/>
        <s v="ITM/001369" u="1"/>
        <s v="ITM/002578" u="1"/>
        <s v="ITM/001301" u="1"/>
        <s v="ITM/000757" u="1"/>
        <s v="ITM/001465" u="1"/>
        <s v="ITM/001481" u="1"/>
        <s v="ITM/002040" u="1"/>
        <s v="ITM/001476" u="1"/>
        <s v="ITM/001542" u="1"/>
        <s v="ITM/001393" u="1"/>
        <s v="ITM/001474" u="1"/>
        <s v="ITM/001524" u="1"/>
        <s v="ITM/001432" u="1"/>
        <s v="ITM/000931" u="1"/>
        <s v="ITM/000897" u="1"/>
        <s v="ITM/000997" u="1"/>
        <s v="ITM/002214" u="1"/>
        <s v="ITM/000782" u="1"/>
        <s v="ITM/000967" u="1"/>
        <s v="ITM/001479" u="1"/>
        <s v="ITM/000406" u="1"/>
        <s v="ITM/001443" u="1"/>
        <s v="ITM/001442" u="1"/>
        <s v="ITM/001098" u="1"/>
        <s v="ITM/000697" u="1"/>
        <s v="ITM/003216" u="1"/>
      </sharedItems>
    </cacheField>
    <cacheField name="ItemName" numFmtId="0">
      <sharedItems containsBlank="1" count="177">
        <s v="SUPER PILLOW 18&quot; X 27&quot; VACUUM"/>
        <s v="CLASSIC 100% COTTON 250TC 1CM S/STRIPE BED SHEET PACK 110&quot; X 110&quot; WHITE"/>
        <s v="CLASSIC PILLOW 18&quot; X 27&quot;"/>
        <s v="KAPOK PILLOW 11&quot; x 15&quot;"/>
        <s v="CMD TARU VILLA GEL FITTED MATTRESS TOPPER 42&quot; X 72&quot; X 6&quot; WHITE"/>
        <s v="SUPER PILLOW 18&quot; X 27&quot; M"/>
        <s v="TENCEL PILLOW CASE 20&quot; X 30&quot; TAN"/>
        <s v="CLASSIC PILLOW 16&quot; X 24&quot;"/>
        <s v="PREMIUM PILLOW CASE 16&quot; X 24&quot; WHITE"/>
        <s v="SUPER PILLOW PROTECTOR 20&quot; X 30&quot; WHITE"/>
        <s v="PREMIUM PILLOW CASE 20&quot; X 30&quot; WHITE"/>
        <s v="CLASSIC BED SHEET 110&quot; X 110&quot; ASH"/>
        <s v="CLASSIC PILLOW CASE 20&quot; X 30&quot; WHITE"/>
        <m/>
        <s v="KAPOK PILLOW 18&quot; X 27&quot;" u="1"/>
        <s v="SUPER PILLOW 18&quot; X 27&quot;" u="1"/>
        <s v="CLASSIC 100% COTTON 250TC 1CM S/STRIPE BED SHEET PACK 100&quot; X 110&quot; WHITE" u="1"/>
        <s v="CMD TRILLIUM PEACH DUVET 106&quot; X 96&quot; WHITE" u="1"/>
        <s v="SUPER CUSHION NON WOVEN 20&quot; X 20&quot; WHITE" u="1"/>
        <s v="SUPER CUSHION NON WOVEN 18&quot; X 18&quot; WHITE" u="1"/>
        <s v="SUPER CUSHION NON WOVEN 24&quot; X 24&quot; WHITE" u="1"/>
        <s v="CLASSIC 100% COTTON 300TC 2CM S/STRIPE BED SHEET PACK 100&quot; X 110&quot; CREAM" u="1"/>
        <s v="GEL PILLOW 20&quot; X 30&quot;" u="1"/>
        <s v="GOOSE FEATHER PILLOW 20&quot; X 30&quot;" u="1"/>
        <s v="GEL PILLOW PACK 14&quot; X 20&quot;" u="1"/>
        <s v="GEL DUVET 70&quot; X 90&quot;" u="1"/>
        <s v="CLASSIC 100% COTTON 300TC 2CM S/STRIPE BED SHEET PACK 110&quot; X 110&quot; SILVER" u="1"/>
        <s v="SUPER SAVER CLASSIC PILLOW PACK 18&quot; x 27&quot;" u="1"/>
        <s v="PEACH DUVET 110&quot; X 90&quot;" u="1"/>
        <s v="LIGHT GEL PILLOW 18&quot; X 27&quot;" u="1"/>
        <s v="GEL PILLOW 18&quot; X 27&quot;" u="1"/>
        <s v="2 IN 1 PREMUM 100% COTTON 300TC JAQUARD PILLOW CASE PACK 18&quot; X 27&quot; WHITE" u="1"/>
        <s v="PREMIUM BED SHEET 100&quot; X 110&quot; WHITE" u="1"/>
        <s v="PREMIUM PILLOW CASE 18&quot; X 27&quot; WHITE" u="1"/>
        <s v="CLASSIC 100% COTTON 300TC 1CM S/STRIPE BED SHEET PACK 110&quot; X 110&quot; MEADOW" u="1"/>
        <s v="TENCEL PILLOW CASE 20&quot; X 30&quot; OCEAN BLUE" u="1"/>
        <s v="CMD CLASSIC BOLSTER CASE  8&quot; X 40&quot; JEAN BLUE" u="1"/>
        <s v="CLASSIC CUSHION 18&quot; X 18&quot;" u="1"/>
        <s v="CLASSIC CUSHION 20&quot; X 20&quot;" u="1"/>
        <s v="PEACH MATTRESS PROTECTOR 60&quot; X 78&quot;" u="1"/>
        <s v="CLASSIC 100% COTTON 300TC 1CM S/STRIPE BED SHEET PACK 100&quot; X 110&quot; MEADOW" u="1"/>
        <s v="TRAVEL PILLOW 12&quot; X 18&quot;" u="1"/>
        <s v="SUPER PILLOW PROTECTOR 18&quot; X 27&quot; WHITE" u="1"/>
        <s v="CLASSIC PILLOW CASE 18&quot; X 27&quot; ASH" u="1"/>
        <s v="CLASSIC PILLOW 10&quot; x 14&quot;" u="1"/>
        <s v="CLASSIC BOLSTER 4&quot; X 18&quot;" u="1"/>
        <s v="CMD GALLE FACE HOTEL PEACH DUVET 56&quot; X 89&quot; WHITE" u="1"/>
        <s v="CMD GALLE FACE HOTEL 20/80 POLY COTTON 300TC 1CM S/STRIPE DUVET COVER 56&quot; X 89&quot; WHITE" u="1"/>
        <s v="CLASSIC PILLOW 12&quot; X 18&quot;" u="1"/>
        <s v="COT SHEET PINK 18&quot; X 27&quot;" u="1"/>
        <s v="COT SHEET BLUE 18&quot; X 27&quot;" u="1"/>
        <s v="COT SHEET PINK 25&quot; X 35&quot;" u="1"/>
        <s v="KAPOK PILLOW 16&quot; X 24&quot;" u="1"/>
        <s v="CLASSIC BOLSTER 8&quot; X 40&quot;" u="1"/>
        <s v="CLASSIC BOLSTER 8&quot; X 24&quot;" u="1"/>
        <s v="CLASSIC BOLSTER 8&quot; X 18&quot;" u="1"/>
        <s v="PEACH CUSHION 16&quot; X 16&quot;" u="1"/>
        <s v="CMD CLASSIC BED SHEET 100&quot; X 110&quot; WHITE" u="1"/>
        <s v="BABY PILLOW PACK" u="1"/>
        <s v="PEACH CUSHION 16&quot; X 16&quot; VIOLET" u="1"/>
        <s v="PEACH CUSHION 16&quot; X 16&quot; COFFEE" u="1"/>
        <s v="SUPER CUSHION NON WOVEN 16&quot; X 16&quot; WHITE" u="1"/>
        <s v="COT SHEET BLUE 27&quot; X 47&quot;" u="1"/>
        <s v="COT SHEET PINK 27&quot; X 47&quot;" u="1"/>
        <s v="PEACH DUVET 70&quot; X 90&quot;" u="1"/>
        <s v="PEACH CUSHION 18&quot; X 18&quot;" u="1"/>
        <s v="CMD PREMIUM PILLOW CASE 18&quot; X 27&quot; WHITE" u="1"/>
        <s v="CLASSIC PILLOW 16&quot; X 24&quot; VACUUM" u="1"/>
        <s v="CLASSIC PILLOW 18&quot; X 27&quot; VACUUM" u="1"/>
        <s v="CMD ARGYLE VILLAS PEACH MATTRESS PROTECTOR 42&quot; X 78&quot; WHITE" u="1"/>
        <s v="CMD PEACH MATTRESS PROTECTOR 60&quot; X 78&quot;" u="1"/>
        <s v="CMD PEACH MATTRESS PROTECTOR 72&quot; X 78&quot;" u="1"/>
        <s v="CMD ARGYLE VILLAS PEACH MATTRESS PROTECTOR 84&quot; X 78&quot; WHITE" u="1"/>
        <s v="CMD ARGYLE VILLAS CLASSIC 100% COTTON 250TC 1CM S/STRIPE BED SHEET 80&quot; X 115&quot; WHITE" u="1"/>
        <s v="CMD ARGYLE VILLAS CLASSIC 100% COTTON 250TC 1CM S/STRIPE BED SHEET 100&quot; X 115&quot; WHITE" u="1"/>
        <s v="CMD ARGYLE VILLAS CLASSIC 100% COTTON 250TC 1CM S/STRIPE BED SHEET 110&quot; X 115&quot; WHITE" u="1"/>
        <s v="CMD ARGYLE VILLAS CLASSIC 100% COTTON 250TC 1CM S/STRIPE BED SHEET 118&quot; X 115&quot; WHITE" u="1"/>
        <s v="CMD CLASSIC BED SHEET 70&quot; X 110&quot; WHITE" u="1"/>
        <s v="CMD ARGYLE VILLAS PEACH DUVET 75&quot; X 96&quot; WHITE" u="1"/>
        <s v="CMD ARGYLE VILLAS PEACH DUVET 93&quot; X 96&quot; WHITE" u="1"/>
        <s v="CMD ARGYLE VILLAS PEACH DUVET 105&quot; X 96&quot; WHITE" u="1"/>
        <s v="CMD ARGYLE VILLAS PEACH DUVET 117&quot; X 96&quot; WHITE" u="1"/>
        <s v="CMD ARGYLE VILLAS CLASSIC 100% COTTON 250TC 1CM S/STRIPE DUVET COVER 75&quot; X 96&quot; WHITE" u="1"/>
        <s v="CMD ARGYLE VILLAS CLASSIC 100% COTTON 250TC 1CM S/STRIPE DUVET COVER 93&quot; X 96&quot; WHITE" u="1"/>
        <s v="CMD ARGYLE VILLAS CLASSIC 100% COTTON 250TC 1CM S/STRIPE DUVET COVER 105&quot; X 96&quot; WHITE" u="1"/>
        <s v="CMD ARGYLE VILLAS CLASSIC 100% COTTON 250TC 1CM S/STRIPE DUVET COVER 117&quot; X 96&quot; WHITE" u="1"/>
        <s v="CLASSIC PILLOW 20&quot; X 30&quot;" u="1"/>
        <s v="CMD CLASSIC PILLOW CASE 18&quot; X 27&quot; WHITE" u="1"/>
        <s v="CMD CLASSIC PILLOW CASE 20&quot; X 30&quot; WHITE" u="1"/>
        <s v="CMD ARGYLE VILLAS PEACH PILLOW SLIP 18&quot; X 27&quot; WHITE" u="1"/>
        <s v="CMD ARGYLE VILLAS PEACH PILLOW SLIP 20&quot; X 30&quot; WHITE" u="1"/>
        <s v="CMD SUPER 50/50 POLY COTTON 200TC 1CM S/STRIPE BED SHEET 70&quot; X 110&quot; WHITE" u="1"/>
        <s v="CMD SUPER 50/50 POLY COTTON 200TC 1CM S/STRIPE BED SHEET 100&quot; X 110&quot; WHITE" u="1"/>
        <s v="CMD PREMIUM PILLOW CASE 20&quot; X 30&quot; WHITE" u="1"/>
        <s v="PEACH CUSHION 20&quot; X 20&quot;" u="1"/>
        <s v="CENTRAL BABY PACK" u="1"/>
        <s v="PREMIUM PILLOW CASE WITH FRILL 20&quot; X 30&quot; WHITE" u="1"/>
        <s v="CMD CLASSIC MATTRESS PROTECTOR 60&quot; X 78&quot;" u="1"/>
        <s v="POLYTHINE - ROLL - 220GSM - SIZE: 40 INCH" u="1"/>
        <s v="PEACH CUSHION 18&quot; X 18&quot; SUPER BLUE" u="1"/>
        <s v="PEACH DUVET 90&quot; X 90&quot;" u="1"/>
        <s v="CLASSIC DUVET COVER 90&quot; X 90&quot; WHITE" u="1"/>
        <s v="CMD MAGNOLIA HOTEL CLASSIC 100% COTTON 250TC 1CM S/STRIPE TOP SHEET 70&quot; X 100&quot; WHITE" u="1"/>
        <s v="CMD MAGNOLIA HOTEL CLASSIC 100% COTTON 250TC 1CM S/STRIPE TOP SHEET 90&quot; X 100&quot; WHITE" u="1"/>
        <s v="CMD GELL MATTRESS TOPPER 72&quot; X 78&quot; WHITE" u="1"/>
        <s v="PEACH CUSHION 16&quot; X 16&quot; GREEN" u="1"/>
        <s v="CMD NAWALA SR-MRS.DAHAMI PREMIUM FITTED SHEET 48&quot; X 78&quot; X 8&quot; WHITE" u="1"/>
        <s v="CMD NAWALA SR-MRS.MALIKA SIRISENA CLASSIC FITTED SHEET 33&quot; X 72&quot; X 6&quot; WHITE" u="1"/>
        <s v="CLASSIC BED SHEET 70&quot; X 110&quot; WHITE" u="1"/>
        <s v="CLASSIC PILLOW CASE 18&quot; X 27&quot; WHITE" u="1"/>
        <s v="CMD WILD COAST PEACH CAMPING BED COVER 30&quot; X 72&quot; COFEE" u="1"/>
        <s v="SUPER PILLOW 20&quot; X 30&quot;" u="1"/>
        <s v="PEACH CUSHION 16&quot; X 16&quot; NAVY BLUE" u="1"/>
        <s v="PEACH MATTRESS PROTECTOR 36&quot; X 78&quot;" u="1"/>
        <s v="CLASSIC PILLOW CASE 16&quot; X 24&quot; WHITE" u="1"/>
        <s v="CLASSIC HARD PILLOW 18&quot; X 27&quot;" u="1"/>
        <s v="PREMIUM FITTED SHEET 72&quot; X 78&quot; X 10&quot; WHITE" u="1"/>
        <s v="CLASSIC 100% COTTON 300TC 2CM S/STRIPE DUVET COVER 90&quot; X 90&quot; JEAN BLUE" u="1"/>
        <s v="2 IN 1 PREMUM 100% COTTON 300TC JAQUARD PILLOW CASE PACK 20&quot; X 30&quot; WHITE" u="1"/>
        <s v="CLASSIC 100% COTTON 300TC 2CM S/STRIPE FITTED SHEET 72&quot; X 78&quot; X 10&quot; SILVER" u="1"/>
        <s v="CLASSIC 100% COTTON 300TC 2CM S/STRIPE BED SHEET 100&quot; X 110&quot; CREAM" u="1"/>
        <s v="CLASSIC 100% COTTON 300TC 2CM S/STRIPE PILLOW CASE 18&quot; X 27&quot; CREAM" u="1"/>
        <s v="GEL PILLOW 18&quot; X 27&quot; VACUUM" u="1"/>
        <s v="6 IN 1 PREMUM 100% COTTON 300TC JAQUARD PILLOW CASE PACK 18&quot; X 27&quot; WHITE" u="1"/>
        <s v="CLASSIC 100% COTTON 300TC 2CM S/STRIPE BED SHEET 70&quot; X 110&quot; SILVER" u="1"/>
        <s v="CLASSIC 100% COTTON 300TC 2CM S/STRIPE PILLOW CASE 18&quot; X 27&quot; SILVER" u="1"/>
        <s v="CLASSIC PILLOW 20&quot; X 30&quot; VACUUM" u="1"/>
        <s v="CLASSIC 100% COTTON 300TC 2CM S/STRIPE BED SHEET 100&quot; X 110&quot; JEAN BLUE" u="1"/>
        <s v="CLASSIC 100% COTTON 300TC 2CM S/STRIPE BED SHEET 110&quot; X 110&quot; SILVER" u="1"/>
        <s v="CLASSIC DUVET COVER 110&quot; X 90&quot; SILVER" u="1"/>
        <s v="CLASSIC DUVET COVER 70&quot; X 90&quot; WHITE" u="1"/>
        <s v="GEL DUVET 110&quot; X 90&quot;" u="1"/>
        <s v="CMD FRANGIPANI LAVENDER EMB 100% COTTON 300TC PLAIN BED SHEET 70&quot; X 110&quot; WHITE" u="1"/>
        <s v="CMD FRANGIPANI BURGUNDY EMB 100% COTTON 300TC PLAIN BED SHEET 70&quot; X 110&quot; WHITE" u="1"/>
        <s v="CLASSIC BED SHEET 110&quot; X 110&quot; WHITE" u="1"/>
        <s v="CLASSIC DUVET COVER 110&quot; X 90&quot; WHITE" u="1"/>
        <s v="PEACH CUSHION 16&quot; X 16&quot; MAUVE" u="1"/>
        <s v="CLASSIC PILLOW PROTECTOR 18&quot; X 27&quot;" u="1"/>
        <s v="CLASSIC BED SHEET 100&quot; X 110&quot; CREAM" u="1"/>
        <s v="TENCEL PILLOW CASE 18&quot; X 27&quot; TAN" u="1"/>
        <s v="CLASSIC 100% COTTON 300TC 2CM S/STRIPE BED SHEET 110&quot; X 110&quot; JEAN BLUE" u="1"/>
        <s v="CLASSIC 100% COTTON 300TC 2CM S/STRIPE PILLOW CASE 20&quot; X 30&quot; JEAN BLUE" u="1"/>
        <s v="CLASSIC BED SHEET 110&quot; X 110&quot; TAUPE" u="1"/>
        <s v="CLASSIC PILLOW CASE 20&quot; X 30&quot; TAUPE" u="1"/>
        <s v="CLASSIC 100% COTTON 300TC 1CM S/STRIPE BED SHEET PACK 110&quot; X 110&quot; RED CURRANT" u="1"/>
        <s v="CLASSIC 100% COTTON 300TC 1CM S/STRIPE BED SHEET PACK 110&quot; X 110&quot; TRUFFLE" u="1"/>
        <s v="CLASSIC BED SHEET 100&quot; X 110&quot; WHITE" u="1"/>
        <s v="CLASSIC MATTRESS PROTECTOR 36&quot; X 78&quot;" u="1"/>
        <s v="CLASSIC 100% COTTON 300TC 2CM S/STRIPE PILLOW CASE 18&quot; x 27&quot; JEAN BLUE" u="1"/>
        <s v="CLASSIC 100% COTTON 300TC 2CM S/STRIPE BED SHEET 70&quot; X 110&quot; JEAN BLUE" u="1"/>
        <s v="TENCEL PILLOW CASE 20&quot; X 30&quot; DENIM BLUE" u="1"/>
        <s v="CLASSIC BOLSTER 10&quot; X 30&quot;" u="1"/>
        <s v="TENCEL PILLOW CASE 20&quot; X 30&quot; PURPLE" u="1"/>
        <s v="PEACH CUSHION 18&quot; X 18&quot; NAVY BLUE" u="1"/>
        <s v="SUPER PILLOW 16&quot; X 24&quot;" u="1"/>
        <s v="CLASSIC BED SHEET 70&quot; X 110&quot; TAUPE" u="1"/>
        <s v="PREMIUM BED SHEET 110&quot; X 110&quot; WHITE" u="1"/>
        <s v="KANDYAN CHARM PERIWINKLE 100% COTTON 300TC PLAIN BED SHEET 110&quot; X 110&quot; WHITE" u="1"/>
        <s v="CLASSIC BED SHEET 100&quot; X 110&quot; IVORY" u="1"/>
        <s v="CLASSIC PILLOW CASE 18&quot; X 27&quot; IVORY" u="1"/>
        <s v="PEACH MATTRESS PROTECTOR 72&quot; X 78&quot;" u="1"/>
        <s v="CLASSIC BED SHEET 70&quot; X 110&quot; IVORY" u="1"/>
        <s v="CLASSIC PILLOW CASE 18&quot; X 27&quot; TAUPE" u="1"/>
        <s v="CLASSIC DUVET COVER 90&quot; X 90&quot; TAUPE" u="1"/>
        <s v="CLASSIC 100% COTTON 300TC 2CM S/STRIPE PILLOW CASE 20&quot; X 40&quot; JEAN BLUE" u="1"/>
        <s v="GEL PILLOW 20&quot; X 30&quot; VACUUM" u="1"/>
        <s v="CLASSIC 100% COTTON 300TC 2CM S/STRIPE FITTED SHEET 60&quot; X 78&quot; X 10&quot; JEAN BLUE" u="1"/>
        <s v="CMD CLASSIC 100% COTTON 250TC 1CM S/STRIPE BOLSTER CASE 10&quot; X 30&quot; JEAN BLUE" u="1"/>
        <s v="CLASSIC 100% COTTON 300TC 2CM S/STRIPE DUVET COVER 110&quot; X 90&quot; JEAN BLUE" u="1"/>
        <s v="CLASSIC 100% COTTON 300TC 2CM S/STRIPE BED SHEET 70&quot; X 110&quot; CREAM" u="1"/>
        <s v="PREMIUM BED SHEET 80&quot; X 110&quot; WHITE" u="1"/>
        <s v="PREMIUM FITTED SHEET 60&quot; X 78&quot; X 10&quot; WHITE" u="1"/>
        <s v="PREMIUM DUVET COVER 110&quot; X 90&quot; WHITE" u="1"/>
        <s v="PREMIUM DUVET COVER 90&quot; X 90&quot; WHITE" u="1"/>
        <s v="PEACH CUSHION 16&quot; X 16&quot; GRAY" u="1"/>
        <s v="CLASSIC PILLOW 20&quot; X 40&quot;" u="1"/>
        <s v="TENCEL PILLOW CASE 16&quot; X 24&quot; TAN" u="1"/>
      </sharedItems>
    </cacheField>
    <cacheField name="SellingPrice" numFmtId="0">
      <sharedItems containsString="0" containsBlank="1" containsNumber="1" minValue="350.435714285714" maxValue="14487.3962469961" count="15">
        <n v="350.435714285714"/>
        <n v="3050.06183838845"/>
        <n v="800.003757540862"/>
        <n v="14487.3962469961"/>
        <n v="8645.10081298042"/>
        <n v="8113.00768667019"/>
        <n v="2369.06243076032"/>
        <n v="426.090365244661"/>
        <n v="962.964225452934"/>
        <n v="553.917474818059"/>
        <n v="1474.27266374653"/>
        <n v="4635.86317386191"/>
        <n v="4179.52039268488"/>
        <n v="1118.06111840199"/>
        <m/>
      </sharedItems>
    </cacheField>
    <cacheField name="TotalQty" numFmtId="0">
      <sharedItems containsString="0" containsBlank="1" containsNumber="1" containsInteger="1" minValue="1" maxValue="68" count="7">
        <n v="7"/>
        <n v="2"/>
        <n v="20"/>
        <n v="68"/>
        <n v="1"/>
        <n v="8"/>
        <m/>
      </sharedItems>
    </cacheField>
    <cacheField name="ItemTotal" numFmtId="0">
      <sharedItems containsString="0" containsBlank="1" containsNumber="1" minValue="426.090365244661" maxValue="14487.3962469961" count="13">
        <n v="2453.05"/>
        <n v="5124.71390086027"/>
        <n v="12177.657197287"/>
        <n v="14487.3962469961"/>
        <n v="8645.10081298042"/>
        <n v="8113.00768667019"/>
        <n v="2369.06243076032"/>
        <n v="426.090365244661"/>
        <n v="1516.88170027099"/>
        <n v="1474.27266374653"/>
        <n v="4635.86317386191"/>
        <n v="6279.29371261057"/>
        <m/>
      </sharedItems>
    </cacheField>
    <cacheField name="Discount" numFmtId="0">
      <sharedItems containsString="0" containsBlank="1" containsNumber="1" minValue="0" maxValue="5655.28190872791" count="8">
        <n v="0"/>
        <n v="1832.86395519767"/>
        <n v="5655.28190872791"/>
        <n v="1533.85044254526"/>
        <n v="1158.96579346548"/>
        <n v="737.562422238508"/>
        <n v="1017.07770183901"/>
        <m/>
      </sharedItems>
    </cacheField>
    <cacheField name="SubTotal" numFmtId="0">
      <sharedItems containsString="0" containsBlank="1" containsNumber="1" minValue="426.090365244661" maxValue="47209.4560448023" count="14">
        <n v="2453.05"/>
        <n v="47209.4560448023"/>
        <n v="43387.0380912721"/>
        <n v="14487.3962469961"/>
        <n v="8645.10081298042"/>
        <n v="6579.15724412493"/>
        <n v="2369.06243076032"/>
        <n v="426.090365244661"/>
        <n v="1516.88170027099"/>
        <n v="1474.27266374653"/>
        <n v="3476.89738039643"/>
        <n v="5541.73129037206"/>
        <n v="5262.21601077156"/>
        <m/>
      </sharedItems>
    </cacheField>
    <cacheField name="NBTAmount" numFmtId="0">
      <sharedItems containsString="0" containsBlank="1" containsNumber="1" minValue="0" maxValue="295.54288343872" count="11">
        <n v="0"/>
        <n v="295.54288343872"/>
        <n v="176.360056584801"/>
        <n v="165.505356808072"/>
        <n v="48.3288735875104"/>
        <n v="8.69224345099109"/>
        <n v="30.9443866855283"/>
        <n v="30.0751623404292"/>
        <n v="94.571608746783"/>
        <n v="128.097591737256"/>
        <m/>
      </sharedItems>
    </cacheField>
    <cacheField name="VATAmount" numFmtId="0">
      <sharedItems containsString="0" containsBlank="1" containsNumber="1" minValue="65.2173913043478" maxValue="7356.35" count="12">
        <n v="367.96"/>
        <n v="7356.35"/>
        <n v="2217.44086956522"/>
        <n v="1323.21913043478"/>
        <n v="1241.77695652174"/>
        <n v="362.608695652174"/>
        <n v="65.2173913043478"/>
        <n v="232.173913043478"/>
        <n v="225.652173913043"/>
        <n v="709.565217391304"/>
        <n v="961.108695652174"/>
        <m/>
      </sharedItems>
    </cacheField>
    <cacheField name="GrandTotal" numFmtId="0">
      <sharedItems containsString="0" containsBlank="1" containsNumber="1" minValue="500" maxValue="56398.67" count="12">
        <n v="2821.01"/>
        <n v="56398.67"/>
        <n v="17000.38"/>
        <n v="10144.68"/>
        <n v="9520.29"/>
        <n v="2780"/>
        <n v="500"/>
        <n v="1780"/>
        <n v="1730"/>
        <n v="5440"/>
        <n v="7368.5"/>
        <m/>
      </sharedItems>
    </cacheField>
    <cacheField name="SVATAmount" numFmtId="0">
      <sharedItems containsString="0" containsBlank="1" containsNumber="1" containsInteger="1" minValue="0" maxValue="0" count="2">
        <n v="0"/>
        <m/>
      </sharedItems>
    </cacheField>
    <cacheField name="AvgPrice" numFmtId="0" formula="SubTotal/TotalQty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1"/>
    <x v="1"/>
    <x v="1"/>
    <x v="1"/>
    <x v="1"/>
    <x v="1"/>
    <x v="0"/>
    <x v="1"/>
    <x v="1"/>
    <x v="0"/>
  </r>
  <r>
    <x v="0"/>
    <x v="1"/>
    <x v="1"/>
    <x v="1"/>
    <x v="1"/>
    <x v="1"/>
    <x v="1"/>
    <x v="2"/>
    <x v="2"/>
    <x v="2"/>
    <x v="2"/>
    <x v="2"/>
    <x v="2"/>
    <x v="2"/>
    <x v="0"/>
    <x v="1"/>
    <x v="1"/>
    <x v="0"/>
  </r>
  <r>
    <x v="1"/>
    <x v="2"/>
    <x v="2"/>
    <x v="2"/>
    <x v="2"/>
    <x v="2"/>
    <x v="1"/>
    <x v="3"/>
    <x v="3"/>
    <x v="3"/>
    <x v="3"/>
    <x v="3"/>
    <x v="0"/>
    <x v="3"/>
    <x v="1"/>
    <x v="2"/>
    <x v="2"/>
    <x v="0"/>
  </r>
  <r>
    <x v="1"/>
    <x v="3"/>
    <x v="3"/>
    <x v="3"/>
    <x v="3"/>
    <x v="3"/>
    <x v="2"/>
    <x v="4"/>
    <x v="4"/>
    <x v="4"/>
    <x v="1"/>
    <x v="4"/>
    <x v="0"/>
    <x v="4"/>
    <x v="2"/>
    <x v="3"/>
    <x v="3"/>
    <x v="0"/>
  </r>
  <r>
    <x v="1"/>
    <x v="4"/>
    <x v="4"/>
    <x v="1"/>
    <x v="1"/>
    <x v="1"/>
    <x v="1"/>
    <x v="5"/>
    <x v="5"/>
    <x v="5"/>
    <x v="2"/>
    <x v="5"/>
    <x v="3"/>
    <x v="5"/>
    <x v="3"/>
    <x v="4"/>
    <x v="4"/>
    <x v="0"/>
  </r>
  <r>
    <x v="2"/>
    <x v="5"/>
    <x v="5"/>
    <x v="0"/>
    <x v="4"/>
    <x v="4"/>
    <x v="3"/>
    <x v="2"/>
    <x v="2"/>
    <x v="6"/>
    <x v="1"/>
    <x v="6"/>
    <x v="0"/>
    <x v="6"/>
    <x v="4"/>
    <x v="5"/>
    <x v="5"/>
    <x v="0"/>
  </r>
  <r>
    <x v="2"/>
    <x v="6"/>
    <x v="6"/>
    <x v="0"/>
    <x v="4"/>
    <x v="4"/>
    <x v="3"/>
    <x v="6"/>
    <x v="6"/>
    <x v="7"/>
    <x v="1"/>
    <x v="7"/>
    <x v="0"/>
    <x v="7"/>
    <x v="5"/>
    <x v="6"/>
    <x v="6"/>
    <x v="0"/>
  </r>
  <r>
    <x v="2"/>
    <x v="7"/>
    <x v="7"/>
    <x v="0"/>
    <x v="4"/>
    <x v="4"/>
    <x v="3"/>
    <x v="7"/>
    <x v="7"/>
    <x v="8"/>
    <x v="4"/>
    <x v="8"/>
    <x v="0"/>
    <x v="8"/>
    <x v="6"/>
    <x v="7"/>
    <x v="7"/>
    <x v="0"/>
  </r>
  <r>
    <x v="2"/>
    <x v="7"/>
    <x v="7"/>
    <x v="0"/>
    <x v="4"/>
    <x v="4"/>
    <x v="3"/>
    <x v="8"/>
    <x v="8"/>
    <x v="9"/>
    <x v="4"/>
    <x v="8"/>
    <x v="0"/>
    <x v="8"/>
    <x v="6"/>
    <x v="7"/>
    <x v="7"/>
    <x v="0"/>
  </r>
  <r>
    <x v="3"/>
    <x v="8"/>
    <x v="8"/>
    <x v="0"/>
    <x v="5"/>
    <x v="5"/>
    <x v="4"/>
    <x v="9"/>
    <x v="9"/>
    <x v="10"/>
    <x v="1"/>
    <x v="9"/>
    <x v="0"/>
    <x v="9"/>
    <x v="7"/>
    <x v="8"/>
    <x v="8"/>
    <x v="0"/>
  </r>
  <r>
    <x v="3"/>
    <x v="9"/>
    <x v="9"/>
    <x v="0"/>
    <x v="4"/>
    <x v="4"/>
    <x v="3"/>
    <x v="10"/>
    <x v="10"/>
    <x v="11"/>
    <x v="5"/>
    <x v="10"/>
    <x v="4"/>
    <x v="10"/>
    <x v="8"/>
    <x v="9"/>
    <x v="9"/>
    <x v="0"/>
  </r>
  <r>
    <x v="3"/>
    <x v="10"/>
    <x v="10"/>
    <x v="0"/>
    <x v="4"/>
    <x v="4"/>
    <x v="3"/>
    <x v="11"/>
    <x v="11"/>
    <x v="12"/>
    <x v="4"/>
    <x v="11"/>
    <x v="5"/>
    <x v="11"/>
    <x v="9"/>
    <x v="10"/>
    <x v="10"/>
    <x v="0"/>
  </r>
  <r>
    <x v="3"/>
    <x v="10"/>
    <x v="10"/>
    <x v="0"/>
    <x v="4"/>
    <x v="4"/>
    <x v="3"/>
    <x v="12"/>
    <x v="12"/>
    <x v="13"/>
    <x v="1"/>
    <x v="11"/>
    <x v="6"/>
    <x v="12"/>
    <x v="9"/>
    <x v="10"/>
    <x v="10"/>
    <x v="0"/>
  </r>
  <r>
    <x v="4"/>
    <x v="11"/>
    <x v="11"/>
    <x v="4"/>
    <x v="6"/>
    <x v="6"/>
    <x v="5"/>
    <x v="13"/>
    <x v="13"/>
    <x v="14"/>
    <x v="6"/>
    <x v="12"/>
    <x v="7"/>
    <x v="13"/>
    <x v="10"/>
    <x v="11"/>
    <x v="11"/>
    <x v="1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_Table" cacheId="0" autoFormatId="1" applyNumberFormats="0" applyBorderFormats="0" applyFontFormats="0" applyPatternFormats="0" applyAlignmentFormats="0" applyWidthHeightFormats="1" dataCaption="Data" updatedVersion="5" createdVersion="4" showError="1" useAutoFormatting="1" compact="0" indent="0" compactData="0" showDrill="1" fieldListSortAscending="1" rowHeaderCaption="DATE">
  <location ref="A8:R27" firstHeaderRow="0" firstDataRow="1" firstDataCol="8"/>
  <pivotFields count="19">
    <pivotField axis="axisRow" sortType="ascending" multipleItemSelectionAllowed="1" showAll="0">
      <items count="6">
        <item x="0"/>
        <item x="1"/>
        <item x="2"/>
        <item x="3"/>
        <item h="1" x="4"/>
        <item t="default"/>
      </items>
    </pivotField>
    <pivotField axis="axisRow" name="INVOICE / CR NOTE NO" compact="0" defaultSubtotal="0" outline="0" subtotalTop="0" showAll="0">
      <items count="182">
        <item m="1" x="68"/>
        <item x="2"/>
        <item x="3"/>
        <item x="4"/>
        <item m="1" x="15"/>
        <item m="1" x="16"/>
        <item m="1" x="17"/>
        <item m="1" x="18"/>
        <item m="1" x="19"/>
        <item m="1" x="100"/>
        <item m="1" x="101"/>
        <item m="1" x="102"/>
        <item m="1" x="103"/>
        <item m="1" x="106"/>
        <item m="1" x="108"/>
        <item m="1" x="114"/>
        <item m="1" x="117"/>
        <item m="1" x="119"/>
        <item m="1" x="120"/>
        <item m="1" x="121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5"/>
        <item m="1" x="137"/>
        <item m="1" x="138"/>
        <item m="1" x="139"/>
        <item m="1" x="141"/>
        <item m="1" x="143"/>
        <item m="1" x="145"/>
        <item m="1" x="146"/>
        <item m="1" x="148"/>
        <item m="1" x="149"/>
        <item m="1" x="150"/>
        <item m="1" x="153"/>
        <item m="1" x="156"/>
        <item m="1" x="158"/>
        <item m="1" x="165"/>
        <item m="1" x="168"/>
        <item m="1" x="171"/>
        <item m="1" x="173"/>
        <item m="1" x="174"/>
        <item m="1" x="176"/>
        <item m="1" x="179"/>
        <item m="1" x="181"/>
        <item x="5"/>
        <item x="6"/>
        <item x="7"/>
        <item m="1" x="20"/>
        <item m="1" x="22"/>
        <item m="1" x="24"/>
        <item m="1" x="25"/>
        <item m="1" x="27"/>
        <item m="1" x="29"/>
        <item m="1" x="104"/>
        <item m="1" x="105"/>
        <item m="1" x="107"/>
        <item m="1" x="109"/>
        <item m="1" x="110"/>
        <item m="1" x="111"/>
        <item m="1" x="112"/>
        <item m="1" x="115"/>
        <item m="1" x="118"/>
        <item m="1" x="122"/>
        <item m="1" x="136"/>
        <item m="1" x="142"/>
        <item m="1" x="144"/>
        <item m="1" x="147"/>
        <item m="1" x="151"/>
        <item m="1" x="152"/>
        <item m="1" x="154"/>
        <item m="1" x="157"/>
        <item m="1" x="159"/>
        <item m="1" x="160"/>
        <item m="1" x="161"/>
        <item m="1" x="162"/>
        <item m="1" x="163"/>
        <item m="1" x="166"/>
        <item m="1" x="167"/>
        <item m="1" x="172"/>
        <item m="1" x="175"/>
        <item m="1" x="178"/>
        <item m="1" x="180"/>
        <item m="1" x="23"/>
        <item m="1" x="113"/>
        <item m="1" x="116"/>
        <item m="1" x="155"/>
        <item m="1" x="169"/>
        <item m="1" x="21"/>
        <item m="1" x="30"/>
        <item m="1" x="134"/>
        <item m="1" x="140"/>
        <item m="1" x="164"/>
        <item m="1" x="170"/>
        <item m="1" x="177"/>
        <item m="1" x="26"/>
        <item m="1" x="28"/>
        <item m="1" x="55"/>
        <item x="0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3"/>
        <item m="1" x="92"/>
        <item m="1" x="94"/>
        <item m="1" x="95"/>
        <item m="1" x="96"/>
        <item m="1" x="97"/>
        <item m="1" x="98"/>
        <item m="1" x="99"/>
        <item x="1"/>
        <item m="1" x="12"/>
        <item m="1" x="14"/>
        <item m="1" x="13"/>
        <item x="8"/>
        <item x="9"/>
        <item x="10"/>
        <item m="1" x="31"/>
        <item m="1" x="32"/>
        <item x="11"/>
      </items>
    </pivotField>
    <pivotField axis="axisRow" name="DATE" compact="0" defaultSubtotal="0" outline="0" subtotalTop="0" showAll="0">
      <items count="182">
        <item m="1" x="100"/>
        <item x="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8"/>
        <item m="1" x="116"/>
        <item m="1" x="117"/>
        <item m="1" x="33"/>
        <item x="9"/>
        <item m="1" x="34"/>
        <item m="1" x="35"/>
        <item m="1" x="36"/>
        <item m="1" x="118"/>
        <item m="1" x="119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120"/>
        <item m="1" x="46"/>
        <item m="1" x="47"/>
        <item m="1" x="121"/>
        <item m="1" x="48"/>
        <item m="1" x="122"/>
        <item m="1" x="49"/>
        <item m="1" x="50"/>
        <item m="1" x="51"/>
        <item m="1" x="52"/>
        <item m="1" x="123"/>
        <item m="1" x="124"/>
        <item m="1" x="125"/>
        <item m="1" x="126"/>
        <item m="1" x="53"/>
        <item m="1" x="127"/>
        <item m="1" x="128"/>
        <item m="1" x="129"/>
        <item m="1" x="130"/>
        <item m="1" x="131"/>
        <item m="1" x="132"/>
        <item m="1" x="133"/>
        <item m="1" x="54"/>
        <item m="1" x="55"/>
        <item m="1" x="134"/>
        <item m="1" x="56"/>
        <item m="1" x="135"/>
        <item m="1" x="57"/>
        <item m="1" x="136"/>
        <item m="1" x="137"/>
        <item m="1" x="138"/>
        <item m="1" x="139"/>
        <item m="1" x="140"/>
        <item m="1" x="141"/>
        <item m="1" x="142"/>
        <item m="1" x="143"/>
        <item m="1" x="58"/>
        <item m="1" x="144"/>
        <item m="1" x="145"/>
        <item m="1" x="146"/>
        <item m="1" x="147"/>
        <item m="1" x="148"/>
        <item m="1" x="149"/>
        <item x="10"/>
        <item m="1" x="150"/>
        <item m="1" x="151"/>
        <item m="1" x="152"/>
        <item m="1" x="153"/>
        <item m="1" x="154"/>
        <item m="1" x="155"/>
        <item m="1" x="156"/>
        <item m="1" x="157"/>
        <item m="1" x="158"/>
        <item m="1" x="159"/>
        <item m="1" x="160"/>
        <item m="1" x="161"/>
        <item m="1" x="162"/>
        <item m="1" x="163"/>
        <item m="1" x="164"/>
        <item m="1" x="165"/>
        <item m="1" x="166"/>
        <item m="1" x="167"/>
        <item m="1" x="59"/>
        <item m="1" x="60"/>
        <item x="2"/>
        <item x="3"/>
        <item x="4"/>
        <item m="1" x="61"/>
        <item m="1" x="15"/>
        <item m="1" x="62"/>
        <item m="1" x="63"/>
        <item m="1" x="16"/>
        <item m="1" x="17"/>
        <item m="1" x="18"/>
        <item m="1" x="19"/>
        <item m="1" x="168"/>
        <item m="1" x="169"/>
        <item m="1" x="64"/>
        <item m="1" x="170"/>
        <item m="1" x="171"/>
        <item m="1" x="172"/>
        <item m="1" x="173"/>
        <item m="1" x="174"/>
        <item m="1" x="175"/>
        <item m="1" x="176"/>
        <item m="1" x="177"/>
        <item m="1" x="65"/>
        <item m="1" x="178"/>
        <item m="1" x="179"/>
        <item m="1" x="180"/>
        <item m="1" x="181"/>
        <item m="1" x="66"/>
        <item m="1" x="67"/>
        <item m="1" x="68"/>
        <item m="1" x="69"/>
        <item x="5"/>
        <item m="1" x="70"/>
        <item m="1" x="71"/>
        <item x="6"/>
        <item m="1" x="72"/>
        <item m="1" x="73"/>
        <item m="1" x="74"/>
        <item x="7"/>
        <item m="1" x="20"/>
        <item m="1" x="75"/>
        <item m="1" x="21"/>
        <item m="1" x="76"/>
        <item m="1" x="77"/>
        <item m="1" x="78"/>
        <item m="1" x="79"/>
        <item m="1" x="80"/>
        <item m="1" x="81"/>
        <item m="1" x="82"/>
        <item m="1" x="83"/>
        <item m="1" x="22"/>
        <item m="1" x="84"/>
        <item m="1" x="85"/>
        <item m="1" x="86"/>
        <item m="1" x="23"/>
        <item m="1" x="87"/>
        <item m="1" x="88"/>
        <item m="1" x="89"/>
        <item m="1" x="90"/>
        <item m="1" x="24"/>
        <item m="1" x="91"/>
        <item m="1" x="92"/>
        <item m="1" x="93"/>
        <item m="1" x="94"/>
        <item m="1" x="95"/>
        <item m="1" x="25"/>
        <item m="1" x="96"/>
        <item m="1" x="97"/>
        <item m="1" x="26"/>
        <item m="1" x="98"/>
        <item m="1" x="27"/>
        <item m="1" x="99"/>
        <item x="1"/>
        <item m="1" x="12"/>
        <item m="1" x="13"/>
        <item m="1" x="14"/>
        <item m="1" x="28"/>
        <item m="1" x="31"/>
        <item m="1" x="29"/>
        <item m="1" x="30"/>
        <item m="1" x="32"/>
        <item x="11"/>
      </items>
    </pivotField>
    <pivotField axis="axisRow" name="SALES REP" compact="0" defaultSubtotal="0" outline="0" subtotalTop="0" showAll="0">
      <items count="14">
        <item x="0"/>
        <item m="1" x="11"/>
        <item m="1" x="5"/>
        <item m="1" x="13"/>
        <item x="2"/>
        <item m="1" x="9"/>
        <item m="1" x="8"/>
        <item x="1"/>
        <item m="1" x="6"/>
        <item m="1" x="12"/>
        <item x="3"/>
        <item m="1" x="7"/>
        <item m="1" x="10"/>
        <item x="4"/>
      </items>
    </pivotField>
    <pivotField axis="axisRow" name="CUSTOMER NAME" compact="0" defaultSubtotal="0" outline="0" subtotalTop="0" showAll="0">
      <items count="62">
        <item x="4"/>
        <item m="1" x="11"/>
        <item m="1" x="36"/>
        <item m="1" x="19"/>
        <item m="1" x="47"/>
        <item m="1" x="16"/>
        <item x="5"/>
        <item m="1" x="60"/>
        <item m="1" x="37"/>
        <item m="1" x="29"/>
        <item m="1" x="42"/>
        <item m="1" x="40"/>
        <item m="1" x="41"/>
        <item m="1" x="32"/>
        <item m="1" x="23"/>
        <item m="1" x="59"/>
        <item m="1" x="50"/>
        <item m="1" x="12"/>
        <item m="1" x="38"/>
        <item m="1" x="22"/>
        <item m="1" x="13"/>
        <item m="1" x="46"/>
        <item m="1" x="20"/>
        <item m="1" x="30"/>
        <item m="1" x="51"/>
        <item x="2"/>
        <item m="1" x="48"/>
        <item m="1" x="45"/>
        <item m="1" x="56"/>
        <item m="1" x="52"/>
        <item m="1" x="14"/>
        <item m="1" x="57"/>
        <item m="1" x="58"/>
        <item m="1" x="33"/>
        <item m="1" x="8"/>
        <item m="1" x="55"/>
        <item m="1" x="17"/>
        <item m="1" x="28"/>
        <item x="1"/>
        <item m="1" x="54"/>
        <item m="1" x="10"/>
        <item m="1" x="9"/>
        <item m="1" x="49"/>
        <item m="1" x="39"/>
        <item m="1" x="43"/>
        <item m="1" x="53"/>
        <item m="1" x="27"/>
        <item x="0"/>
        <item m="1" x="25"/>
        <item m="1" x="21"/>
        <item m="1" x="35"/>
        <item m="1" x="26"/>
        <item m="1" x="15"/>
        <item m="1" x="31"/>
        <item m="1" x="61"/>
        <item m="1" x="18"/>
        <item m="1" x="24"/>
        <item m="1" x="7"/>
        <item m="1" x="34"/>
        <item x="3"/>
        <item m="1" x="44"/>
        <item x="6"/>
      </items>
    </pivotField>
    <pivotField axis="axisRow" name="CUS TYPE" compact="0" defaultSubtotal="0" outline="0" subtotalTop="0" showAll="0">
      <items count="13">
        <item x="1"/>
        <item x="4"/>
        <item x="3"/>
        <item m="1" x="10"/>
        <item x="2"/>
        <item m="1" x="8"/>
        <item m="1" x="7"/>
        <item m="1" x="12"/>
        <item x="5"/>
        <item m="1" x="11"/>
        <item m="1" x="9"/>
        <item x="0"/>
        <item x="6"/>
      </items>
    </pivotField>
    <pivotField axis="axisRow" name="CUS CATEGORY" compact="0" defaultSubtotal="0" outline="0" subtotalTop="0" showAll="0">
      <items count="11">
        <item m="1" x="6"/>
        <item x="1"/>
        <item x="3"/>
        <item m="1" x="10"/>
        <item m="1" x="9"/>
        <item m="1" x="8"/>
        <item x="4"/>
        <item x="2"/>
        <item m="1" x="7"/>
        <item x="0"/>
        <item x="5"/>
      </items>
    </pivotField>
    <pivotField axis="axisRow" name="ITEM CODE" compact="0" defaultSubtotal="0" outline="0" subtotalTop="0" showAll="0">
      <items count="177">
        <item m="1" x="50"/>
        <item m="1" x="62"/>
        <item m="1" x="49"/>
        <item m="1" x="51"/>
        <item m="1" x="63"/>
        <item m="1" x="41"/>
        <item m="1" x="61"/>
        <item m="1" x="19"/>
        <item m="1" x="18"/>
        <item m="1" x="20"/>
        <item m="1" x="97"/>
        <item m="1" x="70"/>
        <item m="1" x="71"/>
        <item m="1" x="77"/>
        <item m="1" x="57"/>
        <item m="1" x="87"/>
        <item m="1" x="88"/>
        <item m="1" x="66"/>
        <item m="1" x="93"/>
        <item m="1" x="91"/>
        <item m="1" x="92"/>
        <item m="1" x="95"/>
        <item m="1" x="171"/>
        <item m="1" x="116"/>
        <item m="1" x="29"/>
        <item m="1" x="42"/>
        <item x="9"/>
        <item m="1" x="31"/>
        <item m="1" x="48"/>
        <item x="7"/>
        <item m="1" x="67"/>
        <item x="2"/>
        <item m="1" x="68"/>
        <item m="1" x="86"/>
        <item m="1" x="126"/>
        <item m="1" x="104"/>
        <item m="1" x="175"/>
        <item m="1" x="27"/>
        <item m="1" x="154"/>
        <item m="1" x="15"/>
        <item m="1" x="117"/>
        <item x="0"/>
        <item m="1" x="168"/>
        <item m="1" x="149"/>
        <item m="1" x="127"/>
        <item m="1" x="140"/>
        <item m="1" x="111"/>
        <item m="1" x="148"/>
        <item m="1" x="141"/>
        <item m="1" x="115"/>
        <item m="1" x="23"/>
        <item m="1" x="30"/>
        <item m="1" x="122"/>
        <item m="1" x="22"/>
        <item m="1" x="165"/>
        <item m="1" x="137"/>
        <item m="1" x="52"/>
        <item m="1" x="14"/>
        <item m="1" x="164"/>
        <item m="1" x="124"/>
        <item m="1" x="128"/>
        <item m="1" x="125"/>
        <item m="1" x="169"/>
        <item m="1" x="120"/>
        <item m="1" x="121"/>
        <item m="1" x="37"/>
        <item m="1" x="38"/>
        <item m="1" x="166"/>
        <item m="1" x="119"/>
        <item m="1" x="60"/>
        <item m="1" x="174"/>
        <item m="1" x="136"/>
        <item m="1" x="21"/>
        <item m="1" x="112"/>
        <item m="1" x="26"/>
        <item m="1" x="105"/>
        <item m="1" x="59"/>
        <item m="1" x="17"/>
        <item m="1" x="153"/>
        <item m="1" x="99"/>
        <item m="1" x="56"/>
        <item m="1" x="65"/>
        <item m="1" x="94"/>
        <item m="1" x="45"/>
        <item m="1" x="55"/>
        <item m="1" x="54"/>
        <item m="1" x="53"/>
        <item m="1" x="151"/>
        <item m="1" x="147"/>
        <item m="1" x="113"/>
        <item m="1" x="39"/>
        <item m="1" x="160"/>
        <item m="1" x="64"/>
        <item m="1" x="100"/>
        <item m="1" x="28"/>
        <item m="1" x="25"/>
        <item m="1" x="131"/>
        <item m="1" x="130"/>
        <item m="1" x="101"/>
        <item m="1" x="135"/>
        <item m="1" x="129"/>
        <item m="1" x="163"/>
        <item m="1" x="173"/>
        <item m="1" x="172"/>
        <item m="1" x="108"/>
        <item m="1" x="146"/>
        <item m="1" x="134"/>
        <item m="1" x="138"/>
        <item m="1" x="155"/>
        <item m="1" x="142"/>
        <item x="11"/>
        <item m="1" x="161"/>
        <item m="1" x="158"/>
        <item m="1" x="170"/>
        <item m="1" x="32"/>
        <item m="1" x="156"/>
        <item m="1" x="114"/>
        <item m="1" x="109"/>
        <item x="12"/>
        <item m="1" x="162"/>
        <item m="1" x="143"/>
        <item m="1" x="43"/>
        <item m="1" x="159"/>
        <item x="8"/>
        <item m="1" x="33"/>
        <item x="10"/>
        <item m="1" x="96"/>
        <item m="1" x="44"/>
        <item x="3"/>
        <item m="1" x="58"/>
        <item m="1" x="98"/>
        <item m="1" x="16"/>
        <item x="1"/>
        <item m="1" x="157"/>
        <item m="1" x="36"/>
        <item m="1" x="133"/>
        <item m="1" x="132"/>
        <item m="1" x="167"/>
        <item m="1" x="24"/>
        <item m="1" x="118"/>
        <item m="1" x="123"/>
        <item m="1" x="139"/>
        <item m="1" x="150"/>
        <item m="1" x="35"/>
        <item m="1" x="152"/>
        <item x="6"/>
        <item x="4"/>
        <item m="1" x="176"/>
        <item m="1" x="144"/>
        <item m="1" x="40"/>
        <item m="1" x="34"/>
        <item m="1" x="145"/>
        <item m="1" x="110"/>
        <item x="5"/>
        <item m="1" x="107"/>
        <item m="1" x="106"/>
        <item m="1" x="69"/>
        <item m="1" x="72"/>
        <item m="1" x="73"/>
        <item m="1" x="74"/>
        <item m="1" x="75"/>
        <item m="1" x="76"/>
        <item m="1" x="78"/>
        <item m="1" x="79"/>
        <item m="1" x="80"/>
        <item m="1" x="81"/>
        <item m="1" x="82"/>
        <item m="1" x="83"/>
        <item m="1" x="84"/>
        <item m="1" x="85"/>
        <item m="1" x="89"/>
        <item m="1" x="90"/>
        <item m="1" x="46"/>
        <item m="1" x="47"/>
        <item m="1" x="102"/>
        <item m="1" x="103"/>
        <item x="13"/>
      </items>
    </pivotField>
    <pivotField axis="axisRow" name="ITEM" compact="0" outline="0" showAll="0">
      <items count="178">
        <item m="1" x="31"/>
        <item m="1" x="118"/>
        <item m="1" x="123"/>
        <item m="1" x="58"/>
        <item m="1" x="95"/>
        <item m="1" x="16"/>
        <item x="1"/>
        <item m="1" x="40"/>
        <item m="1" x="34"/>
        <item m="1" x="144"/>
        <item m="1" x="145"/>
        <item m="1" x="120"/>
        <item m="1" x="127"/>
        <item m="1" x="140"/>
        <item m="1" x="128"/>
        <item m="1" x="169"/>
        <item m="1" x="149"/>
        <item m="1" x="124"/>
        <item m="1" x="21"/>
        <item m="1" x="26"/>
        <item m="1" x="168"/>
        <item m="1" x="117"/>
        <item m="1" x="166"/>
        <item m="1" x="119"/>
        <item m="1" x="121"/>
        <item m="1" x="148"/>
        <item m="1" x="125"/>
        <item m="1" x="141"/>
        <item m="1" x="164"/>
        <item m="1" x="138"/>
        <item m="1" x="158"/>
        <item m="1" x="146"/>
        <item x="11"/>
        <item m="1" x="142"/>
        <item m="1" x="134"/>
        <item m="1" x="161"/>
        <item m="1" x="155"/>
        <item m="1" x="108"/>
        <item m="1" x="151"/>
        <item m="1" x="45"/>
        <item m="1" x="55"/>
        <item m="1" x="54"/>
        <item m="1" x="53"/>
        <item m="1" x="37"/>
        <item m="1" x="38"/>
        <item m="1" x="129"/>
        <item m="1" x="135"/>
        <item m="1" x="130"/>
        <item m="1" x="163"/>
        <item m="1" x="101"/>
        <item m="1" x="115"/>
        <item m="1" x="147"/>
        <item m="1" x="44"/>
        <item m="1" x="48"/>
        <item x="7"/>
        <item m="1" x="67"/>
        <item x="2"/>
        <item m="1" x="68"/>
        <item m="1" x="86"/>
        <item m="1" x="126"/>
        <item m="1" x="175"/>
        <item m="1" x="114"/>
        <item m="1" x="43"/>
        <item m="1" x="159"/>
        <item m="1" x="162"/>
        <item m="1" x="109"/>
        <item m="1" x="143"/>
        <item x="12"/>
        <item m="1" x="137"/>
        <item m="1" x="74"/>
        <item m="1" x="75"/>
        <item m="1" x="76"/>
        <item m="1" x="73"/>
        <item m="1" x="84"/>
        <item m="1" x="85"/>
        <item m="1" x="82"/>
        <item m="1" x="83"/>
        <item m="1" x="80"/>
        <item m="1" x="81"/>
        <item m="1" x="78"/>
        <item m="1" x="79"/>
        <item m="1" x="69"/>
        <item m="1" x="72"/>
        <item m="1" x="89"/>
        <item m="1" x="90"/>
        <item m="1" x="167"/>
        <item m="1" x="57"/>
        <item m="1" x="77"/>
        <item m="1" x="36"/>
        <item m="1" x="97"/>
        <item m="1" x="87"/>
        <item m="1" x="88"/>
        <item m="1" x="133"/>
        <item m="1" x="132"/>
        <item m="1" x="47"/>
        <item m="1" x="46"/>
        <item m="1" x="104"/>
        <item m="1" x="102"/>
        <item m="1" x="103"/>
        <item m="1" x="106"/>
        <item m="1" x="107"/>
        <item m="1" x="70"/>
        <item m="1" x="71"/>
        <item m="1" x="66"/>
        <item m="1" x="93"/>
        <item m="1" x="92"/>
        <item m="1" x="91"/>
        <item x="4"/>
        <item m="1" x="17"/>
        <item m="1" x="110"/>
        <item m="1" x="50"/>
        <item m="1" x="62"/>
        <item m="1" x="49"/>
        <item m="1" x="51"/>
        <item m="1" x="63"/>
        <item m="1" x="131"/>
        <item m="1" x="25"/>
        <item m="1" x="30"/>
        <item m="1" x="122"/>
        <item m="1" x="22"/>
        <item m="1" x="165"/>
        <item m="1" x="24"/>
        <item m="1" x="23"/>
        <item m="1" x="157"/>
        <item x="3"/>
        <item m="1" x="52"/>
        <item m="1" x="14"/>
        <item m="1" x="29"/>
        <item m="1" x="56"/>
        <item m="1" x="60"/>
        <item m="1" x="174"/>
        <item m="1" x="105"/>
        <item m="1" x="136"/>
        <item m="1" x="112"/>
        <item m="1" x="59"/>
        <item m="1" x="65"/>
        <item m="1" x="153"/>
        <item m="1" x="99"/>
        <item m="1" x="94"/>
        <item m="1" x="28"/>
        <item m="1" x="64"/>
        <item m="1" x="100"/>
        <item m="1" x="113"/>
        <item m="1" x="39"/>
        <item m="1" x="160"/>
        <item m="1" x="98"/>
        <item m="1" x="32"/>
        <item m="1" x="156"/>
        <item m="1" x="170"/>
        <item m="1" x="172"/>
        <item m="1" x="173"/>
        <item m="1" x="171"/>
        <item m="1" x="116"/>
        <item x="8"/>
        <item m="1" x="33"/>
        <item x="10"/>
        <item m="1" x="96"/>
        <item m="1" x="61"/>
        <item m="1" x="19"/>
        <item m="1" x="18"/>
        <item m="1" x="20"/>
        <item m="1" x="154"/>
        <item m="1" x="15"/>
        <item x="5"/>
        <item x="0"/>
        <item m="1" x="111"/>
        <item m="1" x="42"/>
        <item x="9"/>
        <item m="1" x="27"/>
        <item m="1" x="176"/>
        <item m="1" x="139"/>
        <item m="1" x="150"/>
        <item m="1" x="35"/>
        <item m="1" x="152"/>
        <item x="6"/>
        <item m="1" x="41"/>
        <item x="13"/>
        <item t="default"/>
      </items>
    </pivotField>
    <pivotField dataField="1" compact="0" outline="0" showAll="0">
      <items count="16">
        <item x="14"/>
        <item x="0"/>
        <item x="1"/>
        <item x="2"/>
        <item x="3"/>
        <item x="4"/>
        <item x="5"/>
        <item x="11"/>
        <item x="7"/>
        <item x="6"/>
        <item x="12"/>
        <item x="13"/>
        <item x="8"/>
        <item x="9"/>
        <item x="10"/>
        <item t="default"/>
      </items>
    </pivotField>
    <pivotField dataField="1" compact="0" outline="0" showAll="0">
      <items count="8">
        <item x="1"/>
        <item x="6"/>
        <item x="0"/>
        <item x="2"/>
        <item x="4"/>
        <item x="5"/>
        <item x="3"/>
        <item t="default"/>
      </items>
    </pivotField>
    <pivotField dataField="1" compact="0" outline="0" subtotalTop="0" showAll="0">
      <items count="14">
        <item x="7"/>
        <item x="9"/>
        <item x="8"/>
        <item x="6"/>
        <item x="0"/>
        <item x="10"/>
        <item x="1"/>
        <item x="11"/>
        <item x="5"/>
        <item x="4"/>
        <item x="2"/>
        <item x="3"/>
        <item x="12"/>
        <item t="default"/>
      </items>
    </pivotField>
    <pivotField dataField="1" compact="0" outline="0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compact="0" outline="0" showAll="0">
      <items count="15">
        <item x="0"/>
        <item x="1"/>
        <item x="2"/>
        <item x="3"/>
        <item x="4"/>
        <item x="5"/>
        <item x="7"/>
        <item x="6"/>
        <item x="8"/>
        <item x="9"/>
        <item x="10"/>
        <item x="11"/>
        <item x="12"/>
        <item x="13"/>
        <item t="default"/>
      </items>
    </pivotField>
    <pivotField dataField="1" compact="0" outline="0" showAll="0">
      <items count="12">
        <item x="10"/>
        <item x="0"/>
        <item x="1"/>
        <item x="2"/>
        <item x="3"/>
        <item x="8"/>
        <item x="5"/>
        <item x="4"/>
        <item x="6"/>
        <item x="7"/>
        <item x="9"/>
        <item t="default"/>
      </items>
    </pivotField>
    <pivotField dataField="1" compact="0" outline="0" showAll="0">
      <items count="13">
        <item x="11"/>
        <item x="0"/>
        <item x="1"/>
        <item x="2"/>
        <item x="3"/>
        <item x="4"/>
        <item x="9"/>
        <item x="6"/>
        <item x="5"/>
        <item x="7"/>
        <item x="8"/>
        <item x="10"/>
        <item t="default"/>
      </items>
    </pivotField>
    <pivotField dataField="1" compact="0" outline="0" subtotalTop="0" showAll="0">
      <items count="13">
        <item x="6"/>
        <item x="8"/>
        <item x="7"/>
        <item x="5"/>
        <item x="0"/>
        <item x="9"/>
        <item x="10"/>
        <item x="4"/>
        <item x="3"/>
        <item x="2"/>
        <item x="1"/>
        <item x="11"/>
        <item t="default"/>
      </items>
    </pivotField>
    <pivotField dataField="1" compact="0" outline="0" showAll="0">
      <items count="3">
        <item x="0"/>
        <item x="1"/>
        <item t="default"/>
      </items>
    </pivotField>
    <pivotField dataField="1" dragToCol="0" dragToPage="0" dragToRow="0" compact="0" outline="0" subtotalTop="0" showAll="0"/>
  </pivotFields>
  <rowFields count="9">
    <field x="0"/>
    <field x="2"/>
    <field x="3"/>
    <field x="1"/>
    <field x="4"/>
    <field x="5"/>
    <field x="6"/>
    <field x="7"/>
    <field x="8"/>
  </rowFields>
  <rowItems count="19">
    <i>
      <x/>
    </i>
    <i r="1">
      <x v="1"/>
      <x/>
      <x v="106"/>
      <x v="47"/>
      <x v="11"/>
      <x v="9"/>
      <x v="41"/>
      <x v="164"/>
    </i>
    <i r="1">
      <x v="172"/>
      <x v="7"/>
      <x v="172"/>
      <x v="38"/>
      <x/>
      <x v="1"/>
      <x v="31"/>
      <x v="56"/>
    </i>
    <i r="7">
      <x v="132"/>
      <x v="6"/>
    </i>
    <i>
      <x v="1"/>
    </i>
    <i r="1">
      <x v="100"/>
      <x v="4"/>
      <x v="1"/>
      <x v="25"/>
      <x v="4"/>
      <x v="1"/>
      <x v="128"/>
      <x v="124"/>
    </i>
    <i r="1">
      <x v="101"/>
      <x v="10"/>
      <x v="2"/>
      <x v="59"/>
      <x v="2"/>
      <x v="7"/>
      <x v="146"/>
      <x v="107"/>
    </i>
    <i r="1">
      <x v="102"/>
      <x v="7"/>
      <x v="3"/>
      <x v="38"/>
      <x/>
      <x v="1"/>
      <x v="153"/>
      <x v="163"/>
    </i>
    <i>
      <x v="2"/>
    </i>
    <i r="1">
      <x v="131"/>
      <x/>
      <x v="53"/>
      <x/>
      <x v="1"/>
      <x v="2"/>
      <x v="31"/>
      <x v="56"/>
    </i>
    <i r="1">
      <x v="134"/>
      <x/>
      <x v="54"/>
      <x/>
      <x v="1"/>
      <x v="2"/>
      <x v="145"/>
      <x v="174"/>
    </i>
    <i r="1">
      <x v="138"/>
      <x/>
      <x v="55"/>
      <x/>
      <x v="1"/>
      <x v="2"/>
      <x v="29"/>
      <x v="54"/>
    </i>
    <i r="7">
      <x v="123"/>
      <x v="153"/>
    </i>
    <i>
      <x v="3"/>
    </i>
    <i r="1">
      <x v="17"/>
      <x/>
      <x v="176"/>
      <x v="6"/>
      <x v="8"/>
      <x v="6"/>
      <x v="26"/>
      <x v="167"/>
    </i>
    <i r="1">
      <x v="21"/>
      <x/>
      <x v="177"/>
      <x/>
      <x v="1"/>
      <x v="2"/>
      <x v="125"/>
      <x v="155"/>
    </i>
    <i r="1">
      <x v="79"/>
      <x/>
      <x v="178"/>
      <x/>
      <x v="1"/>
      <x v="2"/>
      <x v="110"/>
      <x v="32"/>
    </i>
    <i r="7">
      <x v="118"/>
      <x v="6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ELLING PRICE (TAX EXCLUSIVE)" fld="9" baseField="0" baseItem="0" numFmtId="39"/>
    <dataField name="TOTAL QTY (PCS)" fld="10" baseField="0" baseItem="0" numFmtId="4"/>
    <dataField name="INVOICE AMOUNT BEFORE DISCOUNT LKR" fld="11" baseField="0" baseItem="0"/>
    <dataField name="ALL DISCOUNT [LINE &amp; OTHER]" fld="12" baseField="0" baseItem="0" numFmtId="39"/>
    <dataField name="NET AMOUNT LKR" fld="13" baseField="0" baseItem="0"/>
    <dataField name="AVG PRICE" fld="18" baseField="0" baseItem="0" numFmtId="39"/>
    <dataField name="NBT AMOUNT LKR" fld="14" baseField="0" baseItem="0" numFmtId="39"/>
    <dataField name="VAT AMOUNT LKR" fld="15" baseField="0" baseItem="0" numFmtId="39"/>
    <dataField name="INVOICE AMOUNT LKR" fld="16" baseField="0" baseItem="0" numFmtId="39"/>
    <dataField name="SVAT AMOUNT LKR" fld="17" baseField="0" baseItem="0" numFmtId="39"/>
  </dataFields>
  <formats count="118">
    <format dxfId="0">
      <pivotArea field="0" type="button" dataOnly="0" labelOnly="1" outline="0" fieldPosition="0"/>
    </format>
    <format dxfId="1">
      <pivotArea field="2" type="button" dataOnly="0" labelOnly="1" outline="0" fieldPosition="0"/>
    </format>
    <format dxfId="2">
      <pivotArea field="3" type="button" dataOnly="0" labelOnly="1" outline="0" fieldPosition="0"/>
    </format>
    <format dxfId="3">
      <pivotArea field="1" type="button" dataOnly="0" labelOnly="1" outline="0" fieldPosition="0"/>
    </format>
    <format dxfId="4">
      <pivotArea field="4" type="button" dataOnly="0" labelOnly="1" outline="0" fieldPosition="0"/>
    </format>
    <format dxfId="5">
      <pivotArea field="5" type="button" dataOnly="0" labelOnly="1" outline="0" fieldPosition="0"/>
    </format>
    <format dxfId="6">
      <pivotArea field="6" type="button" dataOnly="0" labelOnly="1" outline="0" fieldPosition="0"/>
    </format>
    <format dxfId="7">
      <pivotArea field="7" type="button" dataOnly="0" labelOnly="1" outline="0" fieldPosition="0"/>
    </format>
    <format dxfId="8">
      <pivotArea dataOnly="0" labelOnly="1" fieldPosition="0">
        <references count="1">
          <reference field="4294967294" count="1">
            <x v="0"/>
          </reference>
        </references>
      </pivotArea>
    </format>
    <format dxfId="9">
      <pivotArea dataOnly="0" labelOnly="1" fieldPosition="0">
        <references count="1">
          <reference field="4294967294" count="1">
            <x v="1"/>
          </reference>
        </references>
      </pivotArea>
    </format>
    <format dxfId="10">
      <pivotArea dataOnly="0" labelOnly="1" fieldPosition="0">
        <references count="1">
          <reference field="4294967294" count="1">
            <x v="3"/>
          </reference>
        </references>
      </pivotArea>
    </format>
    <format dxfId="11">
      <pivotArea dataOnly="0" labelOnly="1" fieldPosition="0">
        <references count="1">
          <reference field="4294967294" count="1">
            <x v="6"/>
          </reference>
        </references>
      </pivotArea>
    </format>
    <format dxfId="12">
      <pivotArea dataOnly="0" labelOnly="1" fieldPosition="0">
        <references count="1">
          <reference field="4294967294" count="1">
            <x v="7"/>
          </reference>
        </references>
      </pivotArea>
    </format>
    <format dxfId="13">
      <pivotArea dataOnly="0" labelOnly="1" fieldPosition="0">
        <references count="1">
          <reference field="4294967294" count="1">
            <x v="9"/>
          </reference>
        </references>
      </pivotArea>
    </format>
    <format dxfId="14">
      <pivotArea field="0" type="button" dataOnly="0" labelOnly="1" outline="0" fieldPosition="0"/>
    </format>
    <format dxfId="15">
      <pivotArea field="2" type="button" dataOnly="0" labelOnly="1" outline="0" fieldPosition="0"/>
    </format>
    <format dxfId="16">
      <pivotArea field="3" type="button" dataOnly="0" labelOnly="1" outline="0" fieldPosition="0"/>
    </format>
    <format dxfId="17">
      <pivotArea field="1" type="button" dataOnly="0" labelOnly="1" outline="0" fieldPosition="0"/>
    </format>
    <format dxfId="18">
      <pivotArea field="4" type="button" dataOnly="0" labelOnly="1" outline="0" fieldPosition="0"/>
    </format>
    <format dxfId="19">
      <pivotArea field="5" type="button" dataOnly="0" labelOnly="1" outline="0" fieldPosition="0"/>
    </format>
    <format dxfId="20">
      <pivotArea field="6" type="button" dataOnly="0" labelOnly="1" outline="0" fieldPosition="0"/>
    </format>
    <format dxfId="21">
      <pivotArea field="7" type="button" dataOnly="0" labelOnly="1" outline="0" fieldPosition="0"/>
    </format>
    <format dxfId="22">
      <pivotArea dataOnly="0" labelOnly="1" fieldPosition="0">
        <references count="1">
          <reference field="4294967294" count="1">
            <x v="0"/>
          </reference>
        </references>
      </pivotArea>
    </format>
    <format dxfId="23">
      <pivotArea dataOnly="0" labelOnly="1" fieldPosition="0">
        <references count="1">
          <reference field="4294967294" count="1">
            <x v="1"/>
          </reference>
        </references>
      </pivotArea>
    </format>
    <format dxfId="24">
      <pivotArea dataOnly="0" labelOnly="1" fieldPosition="0">
        <references count="1">
          <reference field="4294967294" count="1">
            <x v="3"/>
          </reference>
        </references>
      </pivotArea>
    </format>
    <format dxfId="25">
      <pivotArea dataOnly="0" labelOnly="1" fieldPosition="0">
        <references count="1">
          <reference field="4294967294" count="1">
            <x v="6"/>
          </reference>
        </references>
      </pivotArea>
    </format>
    <format dxfId="26">
      <pivotArea dataOnly="0" labelOnly="1" fieldPosition="0">
        <references count="1">
          <reference field="4294967294" count="1">
            <x v="7"/>
          </reference>
        </references>
      </pivotArea>
    </format>
    <format dxfId="27">
      <pivotArea dataOnly="0" labelOnly="1" fieldPosition="0">
        <references count="1">
          <reference field="4294967294" count="1">
            <x v="9"/>
          </reference>
        </references>
      </pivotArea>
    </format>
    <format dxfId="28">
      <pivotArea field="0" type="button" dataOnly="0" labelOnly="1" outline="0" fieldPosition="0"/>
    </format>
    <format dxfId="29">
      <pivotArea field="2" type="button" dataOnly="0" labelOnly="1" outline="0" fieldPosition="0"/>
    </format>
    <format dxfId="30">
      <pivotArea field="3" type="button" dataOnly="0" labelOnly="1" outline="0" fieldPosition="0"/>
    </format>
    <format dxfId="31">
      <pivotArea field="1" type="button" dataOnly="0" labelOnly="1" outline="0" fieldPosition="0"/>
    </format>
    <format dxfId="32">
      <pivotArea field="4" type="button" dataOnly="0" labelOnly="1" outline="0" fieldPosition="0"/>
    </format>
    <format dxfId="33">
      <pivotArea field="5" type="button" dataOnly="0" labelOnly="1" outline="0" fieldPosition="0"/>
    </format>
    <format dxfId="34">
      <pivotArea field="6" type="button" dataOnly="0" labelOnly="1" outline="0" fieldPosition="0"/>
    </format>
    <format dxfId="35">
      <pivotArea field="7" type="button" dataOnly="0" labelOnly="1" outline="0" fieldPosition="0"/>
    </format>
    <format dxfId="36">
      <pivotArea dataOnly="0" labelOnly="1" fieldPosition="0">
        <references count="1">
          <reference field="4294967294" count="1">
            <x v="0"/>
          </reference>
        </references>
      </pivotArea>
    </format>
    <format dxfId="37">
      <pivotArea dataOnly="0" labelOnly="1" fieldPosition="0">
        <references count="1">
          <reference field="4294967294" count="1">
            <x v="1"/>
          </reference>
        </references>
      </pivotArea>
    </format>
    <format dxfId="38">
      <pivotArea dataOnly="0" labelOnly="1" fieldPosition="0">
        <references count="1">
          <reference field="4294967294" count="1">
            <x v="3"/>
          </reference>
        </references>
      </pivotArea>
    </format>
    <format dxfId="39">
      <pivotArea dataOnly="0" labelOnly="1" fieldPosition="0">
        <references count="1">
          <reference field="4294967294" count="1">
            <x v="6"/>
          </reference>
        </references>
      </pivotArea>
    </format>
    <format dxfId="40">
      <pivotArea dataOnly="0" labelOnly="1" fieldPosition="0">
        <references count="1">
          <reference field="4294967294" count="1">
            <x v="7"/>
          </reference>
        </references>
      </pivotArea>
    </format>
    <format dxfId="41">
      <pivotArea dataOnly="0" labelOnly="1" fieldPosition="0">
        <references count="1">
          <reference field="4294967294" count="1">
            <x v="9"/>
          </reference>
        </references>
      </pivotArea>
    </format>
    <format dxfId="42">
      <pivotArea dataOnly="0" labelOnly="1" grandRow="1" offset="A1:F1" fieldPosition="0"/>
    </format>
    <format dxfId="43">
      <pivotArea field="0" type="button" dataOnly="0" labelOnly="1" outline="0" fieldPosition="0"/>
    </format>
    <format dxfId="44">
      <pivotArea field="2" type="button" dataOnly="0" labelOnly="1" outline="0" fieldPosition="0"/>
    </format>
    <format dxfId="45">
      <pivotArea field="3" type="button" dataOnly="0" labelOnly="1" outline="0" fieldPosition="0"/>
    </format>
    <format dxfId="46">
      <pivotArea field="1" type="button" dataOnly="0" labelOnly="1" outline="0" fieldPosition="0"/>
    </format>
    <format dxfId="47">
      <pivotArea field="4" type="button" dataOnly="0" labelOnly="1" outline="0" fieldPosition="0"/>
    </format>
    <format dxfId="48">
      <pivotArea field="5" type="button" dataOnly="0" labelOnly="1" outline="0" fieldPosition="0"/>
    </format>
    <format dxfId="49">
      <pivotArea field="6" type="button" dataOnly="0" labelOnly="1" outline="0" fieldPosition="0"/>
    </format>
    <format dxfId="50">
      <pivotArea field="7" type="button" dataOnly="0" labelOnly="1" outline="0" fieldPosition="0"/>
    </format>
    <format dxfId="51">
      <pivotArea dataOnly="0" labelOnly="1" fieldPosition="0">
        <references count="1">
          <reference field="4294967294" count="1">
            <x v="0"/>
          </reference>
        </references>
      </pivotArea>
    </format>
    <format dxfId="52">
      <pivotArea dataOnly="0" labelOnly="1" fieldPosition="0">
        <references count="1">
          <reference field="4294967294" count="1">
            <x v="1"/>
          </reference>
        </references>
      </pivotArea>
    </format>
    <format dxfId="53">
      <pivotArea dataOnly="0" labelOnly="1" fieldPosition="0">
        <references count="1">
          <reference field="4294967294" count="1">
            <x v="3"/>
          </reference>
        </references>
      </pivotArea>
    </format>
    <format dxfId="54">
      <pivotArea dataOnly="0" labelOnly="1" fieldPosition="0">
        <references count="1">
          <reference field="4294967294" count="1">
            <x v="6"/>
          </reference>
        </references>
      </pivotArea>
    </format>
    <format dxfId="55">
      <pivotArea dataOnly="0" labelOnly="1" fieldPosition="0">
        <references count="1">
          <reference field="4294967294" count="1">
            <x v="7"/>
          </reference>
        </references>
      </pivotArea>
    </format>
    <format dxfId="56">
      <pivotArea dataOnly="0" labelOnly="1" fieldPosition="0">
        <references count="1">
          <reference field="4294967294" count="1">
            <x v="9"/>
          </reference>
        </references>
      </pivotArea>
    </format>
    <format dxfId="57">
      <pivotArea field="7" type="button" dataOnly="0" labelOnly="1" outline="0" fieldPosition="0"/>
    </format>
    <format dxfId="58">
      <pivotArea field="7" type="button" dataOnly="0" labelOnly="1" outline="0" fieldPosition="0"/>
    </format>
    <format dxfId="59">
      <pivotArea dataOnly="0" labelOnly="1" fieldPosition="0">
        <references count="1">
          <reference field="4294967294" count="1">
            <x v="4"/>
          </reference>
        </references>
      </pivotArea>
    </format>
    <format dxfId="60">
      <pivotArea dataOnly="0" labelOnly="1" fieldPosition="0">
        <references count="1">
          <reference field="4294967294" count="1">
            <x v="8"/>
          </reference>
        </references>
      </pivotArea>
    </format>
    <format dxfId="61">
      <pivotArea dataOnly="0" labelOnly="1" fieldPosition="0">
        <references count="1">
          <reference field="4294967294" count="1">
            <x v="4"/>
          </reference>
        </references>
      </pivotArea>
    </format>
    <format dxfId="62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3">
      <pivotArea dataOnly="0" labelOnly="1" fieldPosition="0">
        <references count="1">
          <reference field="4294967294" count="1">
            <x v="4"/>
          </reference>
        </references>
      </pivotArea>
    </format>
    <format dxfId="64">
      <pivotArea collapsedLevelsAreSubtotals="1" fieldPosition="0">
        <references count="1">
          <reference field="4294967294" count="1" selected="0">
            <x v="4"/>
          </reference>
        </references>
      </pivotArea>
    </format>
    <format dxfId="65">
      <pivotArea dataOnly="0" labelOnly="1" fieldPosition="0">
        <references count="1">
          <reference field="4294967294" count="1">
            <x v="8"/>
          </reference>
        </references>
      </pivotArea>
    </format>
    <format dxfId="66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67">
      <pivotArea dataOnly="0" labelOnly="1" fieldPosition="0">
        <references count="1">
          <reference field="4294967294" count="1">
            <x v="8"/>
          </reference>
        </references>
      </pivotArea>
    </format>
    <format dxfId="68">
      <pivotArea dataOnly="0" labelOnly="1" fieldPosition="0">
        <references count="1">
          <reference field="4294967294" count="1">
            <x v="0"/>
          </reference>
        </references>
      </pivotArea>
    </format>
    <format dxfId="69">
      <pivotArea dataOnly="0" labelOnly="1" fieldPosition="0">
        <references count="1">
          <reference field="4294967294" count="1">
            <x v="1"/>
          </reference>
        </references>
      </pivotArea>
    </format>
    <format dxfId="70">
      <pivotArea dataOnly="0" labelOnly="1" fieldPosition="0">
        <references count="1">
          <reference field="4294967294" count="1">
            <x v="3"/>
          </reference>
        </references>
      </pivotArea>
    </format>
    <format dxfId="71">
      <pivotArea dataOnly="0" labelOnly="1" fieldPosition="0">
        <references count="1">
          <reference field="4294967294" count="1">
            <x v="4"/>
          </reference>
        </references>
      </pivotArea>
    </format>
    <format dxfId="72">
      <pivotArea dataOnly="0" labelOnly="1" fieldPosition="0">
        <references count="1">
          <reference field="4294967294" count="1">
            <x v="6"/>
          </reference>
        </references>
      </pivotArea>
    </format>
    <format dxfId="73">
      <pivotArea dataOnly="0" labelOnly="1" fieldPosition="0">
        <references count="1">
          <reference field="4294967294" count="1">
            <x v="7"/>
          </reference>
        </references>
      </pivotArea>
    </format>
    <format dxfId="74">
      <pivotArea dataOnly="0" labelOnly="1" fieldPosition="0">
        <references count="1">
          <reference field="4294967294" count="1">
            <x v="8"/>
          </reference>
        </references>
      </pivotArea>
    </format>
    <format dxfId="75">
      <pivotArea dataOnly="0" labelOnly="1" fieldPosition="0">
        <references count="1">
          <reference field="4294967294" count="1">
            <x v="9"/>
          </reference>
        </references>
      </pivotArea>
    </format>
    <format dxfId="76">
      <pivotArea dataOnly="0" labelOnly="1" fieldPosition="0">
        <references count="1">
          <reference field="4294967294" count="1">
            <x v="0"/>
          </reference>
        </references>
      </pivotArea>
    </format>
    <format dxfId="77">
      <pivotArea dataOnly="0" labelOnly="1" fieldPosition="0">
        <references count="1">
          <reference field="4294967294" count="1">
            <x v="1"/>
          </reference>
        </references>
      </pivotArea>
    </format>
    <format dxfId="78">
      <pivotArea dataOnly="0" labelOnly="1" fieldPosition="0">
        <references count="1">
          <reference field="4294967294" count="1">
            <x v="3"/>
          </reference>
        </references>
      </pivotArea>
    </format>
    <format dxfId="79">
      <pivotArea dataOnly="0" labelOnly="1" fieldPosition="0">
        <references count="1">
          <reference field="4294967294" count="1">
            <x v="4"/>
          </reference>
        </references>
      </pivotArea>
    </format>
    <format dxfId="80">
      <pivotArea dataOnly="0" labelOnly="1" fieldPosition="0">
        <references count="1">
          <reference field="4294967294" count="1">
            <x v="6"/>
          </reference>
        </references>
      </pivotArea>
    </format>
    <format dxfId="81">
      <pivotArea dataOnly="0" labelOnly="1" fieldPosition="0">
        <references count="1">
          <reference field="4294967294" count="1">
            <x v="7"/>
          </reference>
        </references>
      </pivotArea>
    </format>
    <format dxfId="82">
      <pivotArea dataOnly="0" labelOnly="1" fieldPosition="0">
        <references count="1">
          <reference field="4294967294" count="1">
            <x v="8"/>
          </reference>
        </references>
      </pivotArea>
    </format>
    <format dxfId="83">
      <pivotArea dataOnly="0" labelOnly="1" fieldPosition="0">
        <references count="1">
          <reference field="4294967294" count="1">
            <x v="9"/>
          </reference>
        </references>
      </pivotArea>
    </format>
    <format dxfId="84">
      <pivotArea dataOnly="0" labelOnly="1" fieldPosition="0">
        <references count="1">
          <reference field="4294967294" count="1">
            <x v="0"/>
          </reference>
        </references>
      </pivotArea>
    </format>
    <format dxfId="85">
      <pivotArea dataOnly="0" labelOnly="1" fieldPosition="0">
        <references count="1">
          <reference field="4294967294" count="1">
            <x v="1"/>
          </reference>
        </references>
      </pivotArea>
    </format>
    <format dxfId="86">
      <pivotArea dataOnly="0" labelOnly="1" fieldPosition="0">
        <references count="1">
          <reference field="4294967294" count="1">
            <x v="3"/>
          </reference>
        </references>
      </pivotArea>
    </format>
    <format dxfId="87">
      <pivotArea dataOnly="0" labelOnly="1" fieldPosition="0">
        <references count="1">
          <reference field="4294967294" count="1">
            <x v="4"/>
          </reference>
        </references>
      </pivotArea>
    </format>
    <format dxfId="88">
      <pivotArea dataOnly="0" labelOnly="1" fieldPosition="0">
        <references count="1">
          <reference field="4294967294" count="1">
            <x v="6"/>
          </reference>
        </references>
      </pivotArea>
    </format>
    <format dxfId="89">
      <pivotArea dataOnly="0" labelOnly="1" fieldPosition="0">
        <references count="1">
          <reference field="4294967294" count="1">
            <x v="7"/>
          </reference>
        </references>
      </pivotArea>
    </format>
    <format dxfId="90">
      <pivotArea dataOnly="0" labelOnly="1" fieldPosition="0">
        <references count="1">
          <reference field="4294967294" count="1">
            <x v="8"/>
          </reference>
        </references>
      </pivotArea>
    </format>
    <format dxfId="91">
      <pivotArea dataOnly="0" labelOnly="1" fieldPosition="0">
        <references count="1">
          <reference field="4294967294" count="1">
            <x v="9"/>
          </reference>
        </references>
      </pivotArea>
    </format>
    <format dxfId="92">
      <pivotArea dataOnly="0" labelOnly="1" fieldPosition="0">
        <references count="1">
          <reference field="4294967294" count="1">
            <x v="0"/>
          </reference>
        </references>
      </pivotArea>
    </format>
    <format dxfId="93">
      <pivotArea dataOnly="0" labelOnly="1" fieldPosition="0">
        <references count="1">
          <reference field="4294967294" count="1">
            <x v="1"/>
          </reference>
        </references>
      </pivotArea>
    </format>
    <format dxfId="94">
      <pivotArea dataOnly="0" labelOnly="1" fieldPosition="0">
        <references count="1">
          <reference field="4294967294" count="1">
            <x v="3"/>
          </reference>
        </references>
      </pivotArea>
    </format>
    <format dxfId="95">
      <pivotArea dataOnly="0" labelOnly="1" fieldPosition="0">
        <references count="1">
          <reference field="4294967294" count="1">
            <x v="4"/>
          </reference>
        </references>
      </pivotArea>
    </format>
    <format dxfId="96">
      <pivotArea dataOnly="0" labelOnly="1" fieldPosition="0">
        <references count="1">
          <reference field="4294967294" count="1">
            <x v="6"/>
          </reference>
        </references>
      </pivotArea>
    </format>
    <format dxfId="97">
      <pivotArea dataOnly="0" labelOnly="1" fieldPosition="0">
        <references count="1">
          <reference field="4294967294" count="1">
            <x v="7"/>
          </reference>
        </references>
      </pivotArea>
    </format>
    <format dxfId="98">
      <pivotArea dataOnly="0" labelOnly="1" fieldPosition="0">
        <references count="1">
          <reference field="4294967294" count="1">
            <x v="8"/>
          </reference>
        </references>
      </pivotArea>
    </format>
    <format dxfId="99">
      <pivotArea dataOnly="0" labelOnly="1" fieldPosition="0">
        <references count="1">
          <reference field="4294967294" count="1">
            <x v="9"/>
          </reference>
        </references>
      </pivotArea>
    </format>
    <format dxfId="100">
      <pivotArea dataOnly="0" labelOnly="1" fieldPosition="0">
        <references count="1">
          <reference field="4294967294" count="1">
            <x v="0"/>
          </reference>
        </references>
      </pivotArea>
    </format>
    <format dxfId="101">
      <pivotArea dataOnly="0" labelOnly="1" fieldPosition="0">
        <references count="1">
          <reference field="4294967294" count="1">
            <x v="1"/>
          </reference>
        </references>
      </pivotArea>
    </format>
    <format dxfId="102">
      <pivotArea dataOnly="0" labelOnly="1" fieldPosition="0">
        <references count="1">
          <reference field="4294967294" count="1">
            <x v="3"/>
          </reference>
        </references>
      </pivotArea>
    </format>
    <format dxfId="103">
      <pivotArea dataOnly="0" labelOnly="1" fieldPosition="0">
        <references count="1">
          <reference field="4294967294" count="1">
            <x v="4"/>
          </reference>
        </references>
      </pivotArea>
    </format>
    <format dxfId="104">
      <pivotArea dataOnly="0" labelOnly="1" fieldPosition="0">
        <references count="1">
          <reference field="4294967294" count="1">
            <x v="6"/>
          </reference>
        </references>
      </pivotArea>
    </format>
    <format dxfId="105">
      <pivotArea dataOnly="0" labelOnly="1" fieldPosition="0">
        <references count="1">
          <reference field="4294967294" count="1">
            <x v="7"/>
          </reference>
        </references>
      </pivotArea>
    </format>
    <format dxfId="106">
      <pivotArea dataOnly="0" labelOnly="1" fieldPosition="0">
        <references count="1">
          <reference field="4294967294" count="1">
            <x v="8"/>
          </reference>
        </references>
      </pivotArea>
    </format>
    <format dxfId="107">
      <pivotArea dataOnly="0" labelOnly="1" fieldPosition="0">
        <references count="1">
          <reference field="4294967294" count="1">
            <x v="9"/>
          </reference>
        </references>
      </pivotArea>
    </format>
    <format dxfId="108">
      <pivotArea collapsedLevelsAreSubtotals="1" fieldPosition="0">
        <references count="1">
          <reference field="4294967294" count="1" selected="0">
            <x v="8"/>
          </reference>
        </references>
      </pivotArea>
    </format>
    <format dxfId="109">
      <pivotArea collapsedLevelsAreSubtotals="1" fieldPosition="0">
        <references count="1">
          <reference field="4294967294" count="1" selected="0">
            <x v="6"/>
          </reference>
        </references>
      </pivotArea>
    </format>
    <format dxfId="110">
      <pivotArea collapsedLevelsAreSubtotals="1" fieldPosition="0">
        <references count="1">
          <reference field="4294967294" count="1" selected="0">
            <x v="7"/>
          </reference>
        </references>
      </pivotArea>
    </format>
    <format dxfId="111">
      <pivotArea collapsedLevelsAreSubtotals="1" fieldPosition="0">
        <references count="1">
          <reference field="4294967294" count="1" selected="0">
            <x v="9"/>
          </reference>
        </references>
      </pivotArea>
    </format>
    <format dxfId="112">
      <pivotArea collapsedLevelsAreSubtotals="1" fieldPosition="0">
        <references count="1">
          <reference field="4294967294" count="1" selected="0">
            <x v="3"/>
          </reference>
        </references>
      </pivotArea>
    </format>
    <format dxfId="113">
      <pivotArea collapsedLevelsAreSubtotals="1" fieldPosition="0">
        <references count="1">
          <reference field="4294967294" count="1" selected="0">
            <x v="0"/>
          </reference>
        </references>
      </pivotArea>
    </format>
    <format dxfId="114">
      <pivotArea dataOnly="0" labelOnly="1" fieldPosition="0">
        <references count="1">
          <reference field="4294967294" count="1">
            <x v="5"/>
          </reference>
        </references>
      </pivotArea>
    </format>
    <format dxfId="115">
      <pivotArea collapsedLevelsAreSubtotals="1" fieldPosition="0">
        <references count="1">
          <reference field="4294967294" count="1" selected="0">
            <x v="5"/>
          </reference>
        </references>
      </pivotArea>
    </format>
    <format dxfId="116">
      <pivotArea dataOnly="0" labelOnly="1" fieldPosition="0">
        <references count="1">
          <reference field="4294967294" count="1">
            <x v="2"/>
          </reference>
        </references>
      </pivotArea>
    </format>
    <format dxfId="117">
      <pivotArea collapsedLevelsAreSubtotals="1" fieldPosition="0">
        <references count="1">
          <reference field="4294967294" count="1" selected="0">
            <x v="2"/>
          </reference>
        </references>
      </pivotArea>
    </format>
  </formats>
  <pivotTableStyleInfo name="PivotTable Style 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R1048119">
  <autoFilter ref="A1:R1048119"/>
  <tableColumns count="18">
    <tableColumn id="1" name="TxType" dataDxfId="118"/>
    <tableColumn id="2" name="Tx ID" dataDxfId="119"/>
    <tableColumn id="3" name="TxDate" dataDxfId="120"/>
    <tableColumn id="4" name="SalesRep" dataDxfId="121"/>
    <tableColumn id="5" name="Customer" dataDxfId="122"/>
    <tableColumn id="6" name="CustomerType" dataDxfId="123"/>
    <tableColumn id="7" name="CustomerCategory" dataDxfId="124"/>
    <tableColumn id="8" name="Item ID" dataDxfId="125"/>
    <tableColumn id="9" name="ItemName" dataDxfId="126"/>
    <tableColumn id="10" name="SellingPrice" dataDxfId="127"/>
    <tableColumn id="11" name="TotalQty" dataDxfId="128"/>
    <tableColumn id="12" name="ItemTotal" dataDxfId="129"/>
    <tableColumn id="13" name="Discount" dataDxfId="130"/>
    <tableColumn id="14" name="SubTotal" dataDxfId="131"/>
    <tableColumn id="15" name="NBTAmount" dataDxfId="132"/>
    <tableColumn id="16" name="VATAmount" dataDxfId="133"/>
    <tableColumn id="17" name="GrandTotal" dataDxfId="134"/>
    <tableColumn id="18" name="SVATAmount" dataDxfId="13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R10">
  <autoFilter ref="A1:R10"/>
  <tableColumns count="18">
    <tableColumn id="1" name="TxType"/>
    <tableColumn id="2" name="Tx ID"/>
    <tableColumn id="3" name="TxDate"/>
    <tableColumn id="4" name="SalesRep"/>
    <tableColumn id="5" name="Customer"/>
    <tableColumn id="6" name="CustomerType"/>
    <tableColumn id="7" name="CustomerCategory"/>
    <tableColumn id="8" name="Item ID"/>
    <tableColumn id="9" name="ItemName"/>
    <tableColumn id="10" name="SellingPrice"/>
    <tableColumn id="11" name="TotalQty"/>
    <tableColumn id="12" name="ItemTotal"/>
    <tableColumn id="13" name="Discount"/>
    <tableColumn id="14" name="SubTotal"/>
    <tableColumn id="15" name="NBTAmount"/>
    <tableColumn id="16" name="VATAmount"/>
    <tableColumn id="17" name="GrandTotal"/>
    <tableColumn id="18" name="SVAT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0"/>
  <sheetViews>
    <sheetView topLeftCell="I1" workbookViewId="0">
      <selection activeCell="L2" sqref="L2"/>
    </sheetView>
  </sheetViews>
  <sheetFormatPr defaultColWidth="9" defaultRowHeight="15"/>
  <cols>
    <col min="1" max="1" width="18.310667855399" customWidth="1"/>
    <col min="2" max="2" width="14.5089569091797" customWidth="1"/>
    <col min="3" max="3" width="12.1518140520368" customWidth="1"/>
    <col min="4" max="4" width="11.4799401419503" customWidth="1"/>
    <col min="5" max="5" width="39.1965462820871" customWidth="1"/>
    <col min="6" max="6" width="16.4387381417411" customWidth="1"/>
    <col min="7" max="7" width="20.066527230399" customWidth="1"/>
    <col min="8" max="8" width="12.2490059988839" customWidth="1"/>
    <col min="9" max="9" width="37.7069614955357" customWidth="1"/>
    <col min="10" max="10" width="13.712268284389" customWidth="1"/>
    <col min="11" max="11" width="11.2558888026646" customWidth="1"/>
    <col min="12" max="12" width="12.1684624808175" customWidth="1"/>
    <col min="13" max="13" width="11.3704719543457" customWidth="1"/>
    <col min="14" max="14" width="11.3622877938407" customWidth="1"/>
    <col min="15" max="15" width="14.3823765345982" customWidth="1"/>
    <col min="16" max="16" width="14.2892772129604" customWidth="1"/>
    <col min="17" max="17" width="13.5178865705218" customWidth="1"/>
    <col min="18" max="18" width="15.28062765938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</row>
    <row r="2">
      <c r="A2" s="0" t="s">
        <v>18</v>
      </c>
      <c r="B2" s="0" t="s">
        <v>19</v>
      </c>
      <c r="C2" s="64">
        <v>43493.4538140393</v>
      </c>
      <c r="D2" s="0" t="s">
        <v>20</v>
      </c>
      <c r="E2" s="0" t="s">
        <v>21</v>
      </c>
      <c r="F2" s="0" t="s">
        <v>22</v>
      </c>
      <c r="G2" s="0" t="s">
        <v>22</v>
      </c>
      <c r="H2" s="0" t="s">
        <v>23</v>
      </c>
      <c r="I2" s="0" t="s">
        <v>24</v>
      </c>
      <c r="J2" s="65">
        <v>1184.5312153801576</v>
      </c>
      <c r="K2" s="65">
        <v>3</v>
      </c>
      <c r="L2" s="65">
        <v>3553.5936461404731</v>
      </c>
      <c r="M2" s="65">
        <v>0</v>
      </c>
      <c r="N2" s="65">
        <v>3553.5936461404731</v>
      </c>
      <c r="O2" s="65">
        <v>72.493310381265658</v>
      </c>
      <c r="P2" s="65">
        <v>543.91304347826076</v>
      </c>
      <c r="Q2" s="65">
        <v>4169.9999999999991</v>
      </c>
      <c r="R2" s="65">
        <v>0</v>
      </c>
      <c r="S2" s="65"/>
    </row>
    <row r="3">
      <c r="A3" s="0" t="s">
        <v>18</v>
      </c>
      <c r="B3" s="0" t="s">
        <v>19</v>
      </c>
      <c r="C3" s="64">
        <v>43493.4538140393</v>
      </c>
      <c r="D3" s="0" t="s">
        <v>20</v>
      </c>
      <c r="E3" s="0" t="s">
        <v>21</v>
      </c>
      <c r="F3" s="0" t="s">
        <v>22</v>
      </c>
      <c r="G3" s="0" t="s">
        <v>22</v>
      </c>
      <c r="H3" s="0" t="s">
        <v>23</v>
      </c>
      <c r="I3" s="0" t="s">
        <v>24</v>
      </c>
      <c r="J3" s="65">
        <v>1000</v>
      </c>
      <c r="K3" s="65">
        <v>1</v>
      </c>
      <c r="L3" s="65">
        <v>1000</v>
      </c>
      <c r="M3" s="65">
        <v>1000</v>
      </c>
      <c r="N3" s="65">
        <v>0</v>
      </c>
      <c r="O3" s="65">
        <v>0</v>
      </c>
      <c r="P3" s="65">
        <v>0</v>
      </c>
      <c r="Q3" s="65">
        <v>0</v>
      </c>
      <c r="R3" s="65">
        <v>0</v>
      </c>
      <c r="S3" s="65"/>
    </row>
    <row r="4">
      <c r="A4" s="0" t="s">
        <v>18</v>
      </c>
      <c r="B4" s="0" t="s">
        <v>19</v>
      </c>
      <c r="C4" s="64">
        <v>43493.4538140393</v>
      </c>
      <c r="D4" s="0" t="s">
        <v>20</v>
      </c>
      <c r="E4" s="0" t="s">
        <v>21</v>
      </c>
      <c r="F4" s="0" t="s">
        <v>22</v>
      </c>
      <c r="G4" s="0" t="s">
        <v>22</v>
      </c>
      <c r="H4" s="0" t="s">
        <v>25</v>
      </c>
      <c r="I4" s="0" t="s">
        <v>26</v>
      </c>
      <c r="J4" s="65">
        <v>2420.1932745896747</v>
      </c>
      <c r="K4" s="65">
        <v>2</v>
      </c>
      <c r="L4" s="65">
        <v>4840.3865491793495</v>
      </c>
      <c r="M4" s="65">
        <v>0</v>
      </c>
      <c r="N4" s="65">
        <v>4840.3865491793495</v>
      </c>
      <c r="O4" s="65">
        <v>98.743885603258747</v>
      </c>
      <c r="P4" s="65">
        <v>740.86956521739125</v>
      </c>
      <c r="Q4" s="65">
        <v>5679.9999999999991</v>
      </c>
      <c r="R4" s="65">
        <v>0</v>
      </c>
      <c r="S4" s="65"/>
    </row>
    <row r="5">
      <c r="A5" s="0" t="s">
        <v>18</v>
      </c>
      <c r="B5" s="0" t="s">
        <v>27</v>
      </c>
      <c r="C5" s="64">
        <v>43493.4602690625</v>
      </c>
      <c r="D5" s="0" t="s">
        <v>20</v>
      </c>
      <c r="E5" s="0" t="s">
        <v>28</v>
      </c>
      <c r="F5" s="0" t="s">
        <v>20</v>
      </c>
      <c r="G5" s="0" t="s">
        <v>20</v>
      </c>
      <c r="H5" s="0" t="s">
        <v>29</v>
      </c>
      <c r="I5" s="0" t="s">
        <v>30</v>
      </c>
      <c r="J5" s="65">
        <v>1917.4066436009748</v>
      </c>
      <c r="K5" s="65">
        <v>-1</v>
      </c>
      <c r="L5" s="65">
        <v>-1917.4066436009748</v>
      </c>
      <c r="M5" s="65">
        <v>0</v>
      </c>
      <c r="N5" s="65">
        <v>-1917.4066436009748</v>
      </c>
      <c r="O5" s="65">
        <v>-39.115095529459886</v>
      </c>
      <c r="P5" s="65">
        <v>-293.47826086956519</v>
      </c>
      <c r="Q5" s="65">
        <v>-2250</v>
      </c>
      <c r="R5" s="65">
        <v>0</v>
      </c>
      <c r="S5" s="65"/>
    </row>
    <row r="6">
      <c r="A6" s="0" t="s">
        <v>18</v>
      </c>
      <c r="B6" s="0" t="s">
        <v>31</v>
      </c>
      <c r="C6" s="64">
        <v>43493.4608603819</v>
      </c>
      <c r="D6" s="0" t="s">
        <v>20</v>
      </c>
      <c r="E6" s="0" t="s">
        <v>28</v>
      </c>
      <c r="F6" s="0" t="s">
        <v>20</v>
      </c>
      <c r="G6" s="0" t="s">
        <v>20</v>
      </c>
      <c r="H6" s="0" t="s">
        <v>32</v>
      </c>
      <c r="I6" s="0" t="s">
        <v>33</v>
      </c>
      <c r="J6" s="65">
        <v>2658.8038791266849</v>
      </c>
      <c r="K6" s="65">
        <v>1</v>
      </c>
      <c r="L6" s="65">
        <v>2658.8038791266849</v>
      </c>
      <c r="M6" s="65">
        <v>0</v>
      </c>
      <c r="N6" s="65">
        <v>2658.8038791266849</v>
      </c>
      <c r="O6" s="65">
        <v>54.239599134184374</v>
      </c>
      <c r="P6" s="65">
        <v>406.95652173913038</v>
      </c>
      <c r="Q6" s="65">
        <v>3120</v>
      </c>
      <c r="R6" s="65">
        <v>0</v>
      </c>
      <c r="S6" s="65"/>
    </row>
    <row r="7">
      <c r="A7" s="0" t="s">
        <v>18</v>
      </c>
      <c r="B7" s="0" t="s">
        <v>34</v>
      </c>
      <c r="C7" s="64">
        <v>43493.4643731481</v>
      </c>
      <c r="D7" s="0" t="s">
        <v>20</v>
      </c>
      <c r="E7" s="0" t="s">
        <v>35</v>
      </c>
      <c r="F7" s="0" t="s">
        <v>20</v>
      </c>
      <c r="G7" s="0" t="s">
        <v>20</v>
      </c>
      <c r="H7" s="0" t="s">
        <v>36</v>
      </c>
      <c r="I7" s="0" t="s">
        <v>37</v>
      </c>
      <c r="J7" s="65">
        <v>1065.2259131116527</v>
      </c>
      <c r="K7" s="65">
        <v>2</v>
      </c>
      <c r="L7" s="65">
        <v>2130.4518262233055</v>
      </c>
      <c r="M7" s="65">
        <v>0</v>
      </c>
      <c r="N7" s="65">
        <v>2130.4518262233055</v>
      </c>
      <c r="O7" s="65">
        <v>43.461217254955429</v>
      </c>
      <c r="P7" s="65">
        <v>326.08695652173913</v>
      </c>
      <c r="Q7" s="65">
        <v>2499.9999999999995</v>
      </c>
      <c r="R7" s="65">
        <v>0</v>
      </c>
      <c r="S7" s="65"/>
    </row>
    <row r="8">
      <c r="A8" s="0" t="s">
        <v>18</v>
      </c>
      <c r="B8" s="0" t="s">
        <v>34</v>
      </c>
      <c r="C8" s="64">
        <v>43493.4643731481</v>
      </c>
      <c r="D8" s="0" t="s">
        <v>20</v>
      </c>
      <c r="E8" s="0" t="s">
        <v>35</v>
      </c>
      <c r="F8" s="0" t="s">
        <v>20</v>
      </c>
      <c r="G8" s="0" t="s">
        <v>20</v>
      </c>
      <c r="H8" s="0" t="s">
        <v>23</v>
      </c>
      <c r="I8" s="0" t="s">
        <v>24</v>
      </c>
      <c r="J8" s="65">
        <v>1184.5312153801576</v>
      </c>
      <c r="K8" s="65">
        <v>2</v>
      </c>
      <c r="L8" s="65">
        <v>2369.0624307603152</v>
      </c>
      <c r="M8" s="65">
        <v>0</v>
      </c>
      <c r="N8" s="65">
        <v>2369.0624307603157</v>
      </c>
      <c r="O8" s="65">
        <v>48.328873587510436</v>
      </c>
      <c r="P8" s="65">
        <v>362.60869565217388</v>
      </c>
      <c r="Q8" s="65">
        <v>2779.9999999999995</v>
      </c>
      <c r="R8" s="65">
        <v>0</v>
      </c>
      <c r="S8" s="65"/>
    </row>
    <row r="9">
      <c r="A9" s="0" t="s">
        <v>18</v>
      </c>
      <c r="B9" s="0" t="s">
        <v>34</v>
      </c>
      <c r="C9" s="64">
        <v>43493.4643731481</v>
      </c>
      <c r="D9" s="0" t="s">
        <v>20</v>
      </c>
      <c r="E9" s="0" t="s">
        <v>35</v>
      </c>
      <c r="F9" s="0" t="s">
        <v>20</v>
      </c>
      <c r="G9" s="0" t="s">
        <v>20</v>
      </c>
      <c r="H9" s="0" t="s">
        <v>23</v>
      </c>
      <c r="I9" s="0" t="s">
        <v>24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/>
    </row>
    <row r="10">
      <c r="A10" s="0" t="s">
        <v>18</v>
      </c>
      <c r="B10" s="0" t="s">
        <v>34</v>
      </c>
      <c r="C10" s="64">
        <v>43493.4643731481</v>
      </c>
      <c r="D10" s="0" t="s">
        <v>20</v>
      </c>
      <c r="E10" s="0" t="s">
        <v>35</v>
      </c>
      <c r="F10" s="0" t="s">
        <v>20</v>
      </c>
      <c r="G10" s="0" t="s">
        <v>20</v>
      </c>
      <c r="H10" s="0" t="s">
        <v>38</v>
      </c>
      <c r="I10" s="0" t="s">
        <v>39</v>
      </c>
      <c r="J10" s="65">
        <v>613.570125952312</v>
      </c>
      <c r="K10" s="65">
        <v>2</v>
      </c>
      <c r="L10" s="65">
        <v>1227.1402519046239</v>
      </c>
      <c r="M10" s="65">
        <v>0</v>
      </c>
      <c r="N10" s="65">
        <v>1227.1402519046239</v>
      </c>
      <c r="O10" s="65">
        <v>25.033661138854324</v>
      </c>
      <c r="P10" s="65">
        <v>187.82608695652172</v>
      </c>
      <c r="Q10" s="65">
        <v>1439.9999999999998</v>
      </c>
      <c r="R10" s="65">
        <v>0</v>
      </c>
      <c r="S10" s="65"/>
    </row>
  </sheetData>
  <pageMargins left="0.75" right="0.75" top="1" bottom="1" header="0.511805555555556" footer="0.511805555555556"/>
  <headerFooter/>
  <tableParts count="1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7"/>
  <sheetViews>
    <sheetView tabSelected="1" topLeftCell="H1" workbookViewId="0">
      <selection activeCell="J18" sqref="J18"/>
    </sheetView>
  </sheetViews>
  <sheetFormatPr defaultColWidth="9" defaultRowHeight="15"/>
  <cols>
    <col min="1" max="1" width="21.5238095238095" customWidth="1"/>
    <col min="2" max="2" width="13.5238095238095" customWidth="1"/>
    <col min="3" max="3" width="22.7142857142857" customWidth="1"/>
    <col min="4" max="4" width="38.2380952380952" customWidth="1"/>
    <col min="5" max="5" width="28.952380952381" customWidth="1"/>
    <col min="6" max="6" width="20.5238095238095" customWidth="1"/>
    <col min="7" max="7" width="13.8095238095238" customWidth="1"/>
    <col min="8" max="8" width="78" customWidth="1"/>
    <col min="9" max="9" width="31.4285714285714" customWidth="1" style="2"/>
    <col min="10" max="10" width="16.7142857142857" customWidth="1" style="2"/>
    <col min="11" max="11" width="41.4285714285714" customWidth="1" style="2"/>
    <col min="12" max="12" width="30.2857142857143" customWidth="1" style="2"/>
    <col min="13" max="13" width="18" customWidth="1" style="2"/>
    <col min="14" max="14" width="10.8571428571429" customWidth="1" style="2"/>
    <col min="15" max="16" width="18.1428571428571" customWidth="1" style="2"/>
    <col min="17" max="17" width="22.5714285714286" customWidth="1" style="2"/>
    <col min="18" max="18" width="19.2857142857143" customWidth="1" style="2"/>
    <col min="19" max="19" width="19.2857142857143" customWidth="1"/>
  </cols>
  <sheetData>
    <row r="1" ht="23.25">
      <c r="A1" s="50" t="s">
        <v>40</v>
      </c>
      <c r="B1" s="50"/>
      <c r="C1" s="50"/>
      <c r="D1" s="50"/>
      <c r="E1" s="50"/>
    </row>
    <row r="2">
      <c r="A2" s="51" t="s">
        <v>41</v>
      </c>
      <c r="B2" s="51"/>
      <c r="C2" s="51"/>
      <c r="D2" s="51"/>
      <c r="E2" s="51"/>
    </row>
    <row r="3">
      <c r="A3" s="51" t="s">
        <v>42</v>
      </c>
      <c r="B3" s="51"/>
      <c r="C3" s="51"/>
      <c r="D3" s="51"/>
      <c r="E3" s="51"/>
    </row>
    <row r="4" ht="4" customHeight="1"/>
    <row r="5" ht="18.75">
      <c r="A5" s="52" t="s">
        <v>43</v>
      </c>
      <c r="B5" s="52"/>
      <c r="C5" s="52"/>
      <c r="D5" s="52"/>
      <c r="E5" s="52"/>
    </row>
    <row r="6">
      <c r="A6" s="53" t="s">
        <v>44</v>
      </c>
      <c r="B6" s="53" t="s">
        <v>44</v>
      </c>
      <c r="C6" s="53" t="s">
        <v>44</v>
      </c>
    </row>
    <row r="8" ht="48" customHeight="1" s="49" customFormat="1">
      <c r="A8" s="54" t="s">
        <v>45</v>
      </c>
      <c r="B8" s="54" t="s">
        <v>46</v>
      </c>
      <c r="C8" s="54" t="s">
        <v>47</v>
      </c>
      <c r="D8" s="54" t="s">
        <v>48</v>
      </c>
      <c r="E8" s="54" t="s">
        <v>49</v>
      </c>
      <c r="F8" s="54" t="s">
        <v>50</v>
      </c>
      <c r="G8" s="54" t="s">
        <v>51</v>
      </c>
      <c r="H8" s="49" t="s">
        <v>52</v>
      </c>
      <c r="I8" s="57" t="s">
        <v>53</v>
      </c>
      <c r="J8" s="57" t="s">
        <v>54</v>
      </c>
      <c r="K8" s="58" t="s">
        <v>55</v>
      </c>
      <c r="L8" s="57" t="s">
        <v>56</v>
      </c>
      <c r="M8" s="59" t="s">
        <v>57</v>
      </c>
      <c r="N8" s="58" t="s">
        <v>58</v>
      </c>
      <c r="O8" s="57" t="s">
        <v>59</v>
      </c>
      <c r="P8" s="57" t="s">
        <v>60</v>
      </c>
      <c r="Q8" s="63" t="s">
        <v>61</v>
      </c>
      <c r="R8" s="57" t="s">
        <v>62</v>
      </c>
    </row>
    <row r="9">
      <c r="A9" s="55" t="s">
        <v>63</v>
      </c>
      <c r="I9" s="60">
        <v>4200.50131021503</v>
      </c>
      <c r="J9" s="61">
        <v>29</v>
      </c>
      <c r="K9" s="62">
        <v>19755.4210981473</v>
      </c>
      <c r="L9" s="60">
        <v>7488.14586392558</v>
      </c>
      <c r="M9" s="60">
        <v>93049.5441360744</v>
      </c>
      <c r="N9" s="60">
        <v>3208.60497020946</v>
      </c>
      <c r="O9" s="60">
        <v>0</v>
      </c>
      <c r="P9" s="60">
        <v>15080.66</v>
      </c>
      <c r="Q9" s="60">
        <v>115618.35</v>
      </c>
      <c r="R9" s="60">
        <v>0</v>
      </c>
    </row>
    <row r="10">
      <c r="A10" s="56">
        <v>43413.4301736111</v>
      </c>
      <c r="B10" s="55"/>
      <c r="C10" s="55" t="s">
        <v>64</v>
      </c>
      <c r="D10" s="55" t="s">
        <v>65</v>
      </c>
      <c r="E10" s="55" t="s">
        <v>66</v>
      </c>
      <c r="F10" s="55" t="s">
        <v>66</v>
      </c>
      <c r="G10" s="55" t="s">
        <v>67</v>
      </c>
      <c r="H10" s="55" t="s">
        <v>68</v>
      </c>
      <c r="I10" s="60">
        <v>350.435714285714</v>
      </c>
      <c r="J10" s="61">
        <v>7</v>
      </c>
      <c r="K10" s="62">
        <v>2453.05</v>
      </c>
      <c r="L10" s="60">
        <v>0</v>
      </c>
      <c r="M10" s="60">
        <v>2453.05</v>
      </c>
      <c r="N10" s="60">
        <v>350.435714285714</v>
      </c>
      <c r="O10" s="60">
        <v>0</v>
      </c>
      <c r="P10" s="60">
        <v>367.96</v>
      </c>
      <c r="Q10" s="60">
        <v>2821.01</v>
      </c>
      <c r="R10" s="60">
        <v>0</v>
      </c>
    </row>
    <row r="11">
      <c r="A11" s="56">
        <v>43417.4994212963</v>
      </c>
      <c r="B11" s="55" t="s">
        <v>69</v>
      </c>
      <c r="C11" s="55" t="s">
        <v>70</v>
      </c>
      <c r="D11" s="55" t="s">
        <v>71</v>
      </c>
      <c r="E11" s="55" t="s">
        <v>72</v>
      </c>
      <c r="F11" s="55" t="s">
        <v>73</v>
      </c>
      <c r="G11" s="55" t="s">
        <v>23</v>
      </c>
      <c r="H11" s="55" t="s">
        <v>24</v>
      </c>
      <c r="I11" s="60">
        <v>800.003757540862</v>
      </c>
      <c r="J11" s="61">
        <v>20</v>
      </c>
      <c r="K11" s="62">
        <v>12177.657197287</v>
      </c>
      <c r="L11" s="60">
        <v>5655.28190872791</v>
      </c>
      <c r="M11" s="60">
        <v>43387.0380912721</v>
      </c>
      <c r="N11" s="60">
        <v>2169.35190456361</v>
      </c>
      <c r="O11" s="60">
        <v>0</v>
      </c>
      <c r="P11" s="60">
        <v>7356.35</v>
      </c>
      <c r="Q11" s="60">
        <v>56398.67</v>
      </c>
      <c r="R11" s="60">
        <v>0</v>
      </c>
    </row>
    <row r="12">
      <c r="G12" s="55" t="s">
        <v>74</v>
      </c>
      <c r="H12" s="55" t="s">
        <v>75</v>
      </c>
      <c r="I12" s="60">
        <v>3050.06183838845</v>
      </c>
      <c r="J12" s="61">
        <v>2</v>
      </c>
      <c r="K12" s="62">
        <v>5124.71390086027</v>
      </c>
      <c r="L12" s="60">
        <v>1832.86395519767</v>
      </c>
      <c r="M12" s="60">
        <v>47209.4560448023</v>
      </c>
      <c r="N12" s="60">
        <v>23604.7280224011</v>
      </c>
      <c r="O12" s="60">
        <v>0</v>
      </c>
      <c r="P12" s="60">
        <v>7356.35</v>
      </c>
      <c r="Q12" s="60">
        <v>56398.67</v>
      </c>
      <c r="R12" s="60">
        <v>0</v>
      </c>
    </row>
    <row r="13">
      <c r="A13" s="55" t="s">
        <v>76</v>
      </c>
      <c r="I13" s="60">
        <v>31245.5047466467</v>
      </c>
      <c r="J13" s="61">
        <v>90</v>
      </c>
      <c r="K13" s="62">
        <v>31245.5047466467</v>
      </c>
      <c r="L13" s="60">
        <v>1533.85044254526</v>
      </c>
      <c r="M13" s="60">
        <v>29711.6543041015</v>
      </c>
      <c r="N13" s="60">
        <v>330.129492267794</v>
      </c>
      <c r="O13" s="60">
        <v>637.408296831593</v>
      </c>
      <c r="P13" s="60">
        <v>4782.43695652174</v>
      </c>
      <c r="Q13" s="60">
        <v>36665.35</v>
      </c>
      <c r="R13" s="60">
        <v>0</v>
      </c>
    </row>
    <row r="14">
      <c r="A14" s="56">
        <v>43416.3802083333</v>
      </c>
      <c r="B14" s="55" t="s">
        <v>77</v>
      </c>
      <c r="C14" s="55" t="s">
        <v>78</v>
      </c>
      <c r="D14" s="55" t="s">
        <v>79</v>
      </c>
      <c r="E14" s="55" t="s">
        <v>80</v>
      </c>
      <c r="F14" s="55" t="s">
        <v>73</v>
      </c>
      <c r="G14" s="55" t="s">
        <v>81</v>
      </c>
      <c r="H14" s="55" t="s">
        <v>82</v>
      </c>
      <c r="I14" s="60">
        <v>14487.3962469961</v>
      </c>
      <c r="J14" s="61">
        <v>68</v>
      </c>
      <c r="K14" s="62">
        <v>14487.3962469961</v>
      </c>
      <c r="L14" s="60">
        <v>0</v>
      </c>
      <c r="M14" s="60">
        <v>14487.3962469961</v>
      </c>
      <c r="N14" s="60">
        <v>213.049944808766</v>
      </c>
      <c r="O14" s="60">
        <v>295.54288343872</v>
      </c>
      <c r="P14" s="60">
        <v>2217.44086956522</v>
      </c>
      <c r="Q14" s="60">
        <v>17000.38</v>
      </c>
      <c r="R14" s="60">
        <v>0</v>
      </c>
    </row>
    <row r="15">
      <c r="A15" s="56">
        <v>43416.3824421296</v>
      </c>
      <c r="B15" s="55" t="s">
        <v>83</v>
      </c>
      <c r="C15" s="55" t="s">
        <v>84</v>
      </c>
      <c r="D15" s="55" t="s">
        <v>85</v>
      </c>
      <c r="E15" s="55" t="s">
        <v>86</v>
      </c>
      <c r="F15" s="55" t="s">
        <v>87</v>
      </c>
      <c r="G15" s="55" t="s">
        <v>88</v>
      </c>
      <c r="H15" s="55" t="s">
        <v>89</v>
      </c>
      <c r="I15" s="60">
        <v>8645.10081298042</v>
      </c>
      <c r="J15" s="61">
        <v>2</v>
      </c>
      <c r="K15" s="62">
        <v>8645.10081298042</v>
      </c>
      <c r="L15" s="60">
        <v>0</v>
      </c>
      <c r="M15" s="60">
        <v>8645.10081298042</v>
      </c>
      <c r="N15" s="60">
        <v>4322.55040649021</v>
      </c>
      <c r="O15" s="60">
        <v>176.360056584801</v>
      </c>
      <c r="P15" s="60">
        <v>1323.21913043478</v>
      </c>
      <c r="Q15" s="60">
        <v>10144.68</v>
      </c>
      <c r="R15" s="60">
        <v>0</v>
      </c>
    </row>
    <row r="16">
      <c r="A16" s="56">
        <v>43416.3835532407</v>
      </c>
      <c r="B16" s="55" t="s">
        <v>69</v>
      </c>
      <c r="C16" s="55" t="s">
        <v>90</v>
      </c>
      <c r="D16" s="55" t="s">
        <v>71</v>
      </c>
      <c r="E16" s="55" t="s">
        <v>72</v>
      </c>
      <c r="F16" s="55" t="s">
        <v>73</v>
      </c>
      <c r="G16" s="55" t="s">
        <v>91</v>
      </c>
      <c r="H16" s="55" t="s">
        <v>92</v>
      </c>
      <c r="I16" s="60">
        <v>8113.00768667019</v>
      </c>
      <c r="J16" s="61">
        <v>20</v>
      </c>
      <c r="K16" s="62">
        <v>8113.00768667019</v>
      </c>
      <c r="L16" s="60">
        <v>1533.85044254526</v>
      </c>
      <c r="M16" s="60">
        <v>6579.15724412493</v>
      </c>
      <c r="N16" s="60">
        <v>328.957862206247</v>
      </c>
      <c r="O16" s="60">
        <v>165.505356808072</v>
      </c>
      <c r="P16" s="60">
        <v>1241.77695652174</v>
      </c>
      <c r="Q16" s="60">
        <v>9520.29</v>
      </c>
      <c r="R16" s="60">
        <v>0</v>
      </c>
    </row>
    <row r="17">
      <c r="A17" s="55" t="s">
        <v>93</v>
      </c>
      <c r="I17" s="60">
        <v>4312.03449627597</v>
      </c>
      <c r="J17" s="61">
        <v>6</v>
      </c>
      <c r="K17" s="62">
        <v>5828.91619654696</v>
      </c>
      <c r="L17" s="60">
        <v>0</v>
      </c>
      <c r="M17" s="60">
        <v>5828.91619654696</v>
      </c>
      <c r="N17" s="60">
        <v>971.486032757827</v>
      </c>
      <c r="O17" s="60">
        <v>118.909890409558</v>
      </c>
      <c r="P17" s="60">
        <v>892.173913043478</v>
      </c>
      <c r="Q17" s="60">
        <v>6840</v>
      </c>
      <c r="R17" s="60">
        <v>0</v>
      </c>
    </row>
    <row r="18">
      <c r="A18" s="56">
        <v>43416.6515277778</v>
      </c>
      <c r="B18" s="55"/>
      <c r="C18" s="55" t="s">
        <v>94</v>
      </c>
      <c r="D18" s="55" t="s">
        <v>20</v>
      </c>
      <c r="E18" s="55" t="s">
        <v>95</v>
      </c>
      <c r="F18" s="55" t="s">
        <v>95</v>
      </c>
      <c r="G18" s="55" t="s">
        <v>23</v>
      </c>
      <c r="H18" s="55" t="s">
        <v>24</v>
      </c>
      <c r="I18" s="60">
        <v>2369.06243076032</v>
      </c>
      <c r="J18" s="61">
        <v>2</v>
      </c>
      <c r="K18" s="62">
        <v>2369.06243076032</v>
      </c>
      <c r="L18" s="60">
        <v>0</v>
      </c>
      <c r="M18" s="60">
        <v>2369.06243076032</v>
      </c>
      <c r="N18" s="60">
        <v>1184.53121538016</v>
      </c>
      <c r="O18" s="60">
        <v>48.3288735875104</v>
      </c>
      <c r="P18" s="60">
        <v>362.608695652174</v>
      </c>
      <c r="Q18" s="60">
        <v>2780</v>
      </c>
      <c r="R18" s="60">
        <v>0</v>
      </c>
    </row>
    <row r="19">
      <c r="A19" s="56">
        <v>43416.6614236111</v>
      </c>
      <c r="B19" s="55"/>
      <c r="C19" s="55" t="s">
        <v>96</v>
      </c>
      <c r="D19" s="55" t="s">
        <v>20</v>
      </c>
      <c r="E19" s="55" t="s">
        <v>95</v>
      </c>
      <c r="F19" s="55" t="s">
        <v>95</v>
      </c>
      <c r="G19" s="55" t="s">
        <v>97</v>
      </c>
      <c r="H19" s="55" t="s">
        <v>98</v>
      </c>
      <c r="I19" s="60">
        <v>426.090365244661</v>
      </c>
      <c r="J19" s="61">
        <v>2</v>
      </c>
      <c r="K19" s="62">
        <v>426.090365244661</v>
      </c>
      <c r="L19" s="60">
        <v>0</v>
      </c>
      <c r="M19" s="60">
        <v>426.090365244661</v>
      </c>
      <c r="N19" s="60">
        <v>213.045182622331</v>
      </c>
      <c r="O19" s="60">
        <v>8.69224345099109</v>
      </c>
      <c r="P19" s="60">
        <v>65.2173913043478</v>
      </c>
      <c r="Q19" s="60">
        <v>500</v>
      </c>
      <c r="R19" s="60">
        <v>0</v>
      </c>
    </row>
    <row r="20">
      <c r="A20" s="56">
        <v>43416.7252662037</v>
      </c>
      <c r="B20" s="55"/>
      <c r="C20" s="55" t="s">
        <v>99</v>
      </c>
      <c r="D20" s="55" t="s">
        <v>20</v>
      </c>
      <c r="E20" s="55" t="s">
        <v>95</v>
      </c>
      <c r="F20" s="55" t="s">
        <v>95</v>
      </c>
      <c r="G20" s="55" t="s">
        <v>100</v>
      </c>
      <c r="H20" s="55" t="s">
        <v>101</v>
      </c>
      <c r="I20" s="60">
        <v>962.964225452934</v>
      </c>
      <c r="J20" s="61">
        <v>1</v>
      </c>
      <c r="K20" s="62">
        <v>1516.88170027099</v>
      </c>
      <c r="L20" s="60">
        <v>0</v>
      </c>
      <c r="M20" s="60">
        <v>1516.88170027099</v>
      </c>
      <c r="N20" s="60">
        <v>1516.88170027099</v>
      </c>
      <c r="O20" s="60">
        <v>30.9443866855283</v>
      </c>
      <c r="P20" s="60">
        <v>232.173913043478</v>
      </c>
      <c r="Q20" s="60">
        <v>1780</v>
      </c>
      <c r="R20" s="60">
        <v>0</v>
      </c>
    </row>
    <row r="21">
      <c r="G21" s="55" t="s">
        <v>102</v>
      </c>
      <c r="H21" s="55" t="s">
        <v>103</v>
      </c>
      <c r="I21" s="60">
        <v>553.917474818059</v>
      </c>
      <c r="J21" s="61">
        <v>1</v>
      </c>
      <c r="K21" s="62">
        <v>1516.88170027099</v>
      </c>
      <c r="L21" s="60">
        <v>0</v>
      </c>
      <c r="M21" s="60">
        <v>1516.88170027099</v>
      </c>
      <c r="N21" s="60">
        <v>1516.88170027099</v>
      </c>
      <c r="O21" s="60">
        <v>30.9443866855283</v>
      </c>
      <c r="P21" s="60">
        <v>232.173913043478</v>
      </c>
      <c r="Q21" s="60">
        <v>1780</v>
      </c>
      <c r="R21" s="60">
        <v>0</v>
      </c>
    </row>
    <row r="22">
      <c r="A22" s="55" t="s">
        <v>104</v>
      </c>
      <c r="I22" s="60">
        <v>11407.7173486953</v>
      </c>
      <c r="J22" s="61">
        <v>13</v>
      </c>
      <c r="K22" s="62">
        <v>18668.7232628296</v>
      </c>
      <c r="L22" s="60">
        <v>2913.605917543</v>
      </c>
      <c r="M22" s="60">
        <v>15755.1173452866</v>
      </c>
      <c r="N22" s="60">
        <v>1211.93210348358</v>
      </c>
      <c r="O22" s="60">
        <v>380.841954561724</v>
      </c>
      <c r="P22" s="60">
        <v>2857.4347826087</v>
      </c>
      <c r="Q22" s="60">
        <v>21907</v>
      </c>
      <c r="R22" s="60">
        <v>0</v>
      </c>
    </row>
    <row r="23">
      <c r="A23" s="56">
        <v>43413.5391319444</v>
      </c>
      <c r="B23" s="55"/>
      <c r="C23" s="55" t="s">
        <v>105</v>
      </c>
      <c r="D23" s="55" t="s">
        <v>106</v>
      </c>
      <c r="E23" s="55" t="s">
        <v>22</v>
      </c>
      <c r="F23" s="55" t="s">
        <v>22</v>
      </c>
      <c r="G23" s="55" t="s">
        <v>107</v>
      </c>
      <c r="H23" s="55" t="s">
        <v>108</v>
      </c>
      <c r="I23" s="60">
        <v>1474.27266374653</v>
      </c>
      <c r="J23" s="61">
        <v>2</v>
      </c>
      <c r="K23" s="62">
        <v>1474.27266374653</v>
      </c>
      <c r="L23" s="60">
        <v>0</v>
      </c>
      <c r="M23" s="60">
        <v>1474.27266374653</v>
      </c>
      <c r="N23" s="60">
        <v>737.136331873265</v>
      </c>
      <c r="O23" s="60">
        <v>30.0751623404292</v>
      </c>
      <c r="P23" s="60">
        <v>225.652173913043</v>
      </c>
      <c r="Q23" s="60">
        <v>1730</v>
      </c>
      <c r="R23" s="60">
        <v>0</v>
      </c>
    </row>
    <row r="24">
      <c r="A24" s="56">
        <v>43413.558900463</v>
      </c>
      <c r="B24" s="55"/>
      <c r="C24" s="55" t="s">
        <v>109</v>
      </c>
      <c r="D24" s="55" t="s">
        <v>20</v>
      </c>
      <c r="E24" s="55" t="s">
        <v>95</v>
      </c>
      <c r="F24" s="55" t="s">
        <v>95</v>
      </c>
      <c r="G24" s="55" t="s">
        <v>110</v>
      </c>
      <c r="H24" s="55" t="s">
        <v>111</v>
      </c>
      <c r="I24" s="60">
        <v>4635.86317386191</v>
      </c>
      <c r="J24" s="61">
        <v>8</v>
      </c>
      <c r="K24" s="62">
        <v>4635.86317386191</v>
      </c>
      <c r="L24" s="60">
        <v>1158.96579346548</v>
      </c>
      <c r="M24" s="60">
        <v>3476.89738039643</v>
      </c>
      <c r="N24" s="60">
        <v>434.612172549554</v>
      </c>
      <c r="O24" s="60">
        <v>94.571608746783</v>
      </c>
      <c r="P24" s="60">
        <v>709.565217391304</v>
      </c>
      <c r="Q24" s="60">
        <v>5440</v>
      </c>
      <c r="R24" s="60">
        <v>0</v>
      </c>
    </row>
    <row r="25">
      <c r="A25" s="56">
        <v>43414.6845949074</v>
      </c>
      <c r="B25" s="55"/>
      <c r="C25" s="55" t="s">
        <v>112</v>
      </c>
      <c r="D25" s="55" t="s">
        <v>20</v>
      </c>
      <c r="E25" s="55" t="s">
        <v>95</v>
      </c>
      <c r="F25" s="55" t="s">
        <v>95</v>
      </c>
      <c r="G25" s="55" t="s">
        <v>113</v>
      </c>
      <c r="H25" s="55" t="s">
        <v>114</v>
      </c>
      <c r="I25" s="60">
        <v>4179.52039268488</v>
      </c>
      <c r="J25" s="61">
        <v>1</v>
      </c>
      <c r="K25" s="62">
        <v>6279.29371261057</v>
      </c>
      <c r="L25" s="60">
        <v>737.562422238508</v>
      </c>
      <c r="M25" s="60">
        <v>5541.73129037206</v>
      </c>
      <c r="N25" s="60">
        <v>5541.73129037206</v>
      </c>
      <c r="O25" s="60">
        <v>128.097591737256</v>
      </c>
      <c r="P25" s="60">
        <v>961.108695652174</v>
      </c>
      <c r="Q25" s="60">
        <v>7368.5</v>
      </c>
      <c r="R25" s="60">
        <v>0</v>
      </c>
    </row>
    <row r="26">
      <c r="G26" s="55" t="s">
        <v>115</v>
      </c>
      <c r="H26" s="55" t="s">
        <v>116</v>
      </c>
      <c r="I26" s="60">
        <v>1118.06111840199</v>
      </c>
      <c r="J26" s="61">
        <v>2</v>
      </c>
      <c r="K26" s="62">
        <v>6279.29371261057</v>
      </c>
      <c r="L26" s="60">
        <v>1017.07770183901</v>
      </c>
      <c r="M26" s="60">
        <v>5262.21601077156</v>
      </c>
      <c r="N26" s="60">
        <v>2631.10800538578</v>
      </c>
      <c r="O26" s="60">
        <v>128.097591737256</v>
      </c>
      <c r="P26" s="60">
        <v>961.108695652174</v>
      </c>
      <c r="Q26" s="60">
        <v>7368.5</v>
      </c>
      <c r="R26" s="60">
        <v>0</v>
      </c>
    </row>
    <row r="27">
      <c r="A27" s="55" t="s">
        <v>117</v>
      </c>
      <c r="I27" s="60">
        <v>51165.757901833</v>
      </c>
      <c r="J27" s="61">
        <v>138</v>
      </c>
      <c r="K27" s="62">
        <v>75498.5653041705</v>
      </c>
      <c r="L27" s="60">
        <v>11935.6022240138</v>
      </c>
      <c r="M27" s="60">
        <v>144345.231982009</v>
      </c>
      <c r="N27" s="60">
        <v>1045.97994189862</v>
      </c>
      <c r="O27" s="60">
        <v>1137.16014180288</v>
      </c>
      <c r="P27" s="60">
        <v>23612.7056521739</v>
      </c>
      <c r="Q27" s="60">
        <v>181030.7</v>
      </c>
      <c r="R27" s="60">
        <v>0</v>
      </c>
    </row>
  </sheetData>
  <mergeCells>
    <mergeCell ref="A1:E1"/>
    <mergeCell ref="A2:E2"/>
    <mergeCell ref="A3:E3"/>
    <mergeCell ref="A5:E5"/>
    <mergeCell ref="A6:C6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Raw_Data</vt:lpstr>
      <vt:lpstr>SalesReportDetail_InvoiceItem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pdeng3</cp:lastModifiedBy>
  <dcterms:created xsi:type="dcterms:W3CDTF">2018-11-19T12:54:00Z</dcterms:created>
  <dcterms:modified xsi:type="dcterms:W3CDTF">2019-01-28T08:41:10Z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1033-10.2.0.7587</vt:lpwstr>
  </property>
</Properties>
</file>